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SSISTENCIAL\GERENCIA_MEDICA\Python\"/>
    </mc:Choice>
  </mc:AlternateContent>
  <bookViews>
    <workbookView xWindow="0" yWindow="0" windowWidth="20490" windowHeight="6900"/>
  </bookViews>
  <sheets>
    <sheet name="CMA_-_CC" sheetId="1" r:id="rId1"/>
    <sheet name="cma_-_SPC" sheetId="2" r:id="rId2"/>
  </sheets>
  <definedNames>
    <definedName name="_xlnm.Print_Area" localSheetId="0">"cma_-#REF!"</definedName>
    <definedName name="SHARED_FORMULA_13_10_13_10_1">"""SUM(#REF!)"""</definedName>
    <definedName name="SHARED_FORMULA_13_101_13_101_0">"""SUM(#REF!)"""</definedName>
    <definedName name="SHARED_FORMULA_13_101_13_101_1">"""SUM(#REF!)"""</definedName>
    <definedName name="SHARED_FORMULA_13_119_13_119_1">"""SUM(#REF!)"""</definedName>
    <definedName name="SHARED_FORMULA_13_122_13_122_0">"""SUM(#REF!)"""</definedName>
    <definedName name="SHARED_FORMULA_13_146_13_146_1">"""SUM(#REF!)"""</definedName>
    <definedName name="SHARED_FORMULA_13_28_13_28_0">"""SUM(#REF!)"""</definedName>
    <definedName name="SHARED_FORMULA_13_42_13_42_0">"""SUM(#REF!)"""</definedName>
    <definedName name="SHARED_FORMULA_13_58_13_58_1">"""SUM(#REF!)"""</definedName>
    <definedName name="SHARED_FORMULA_13_64_13_64_0">"""SUM(#REF!)"""</definedName>
    <definedName name="SHARED_FORMULA_13_7_13_7_0">"""SUM(#REF!)"""</definedName>
    <definedName name="SHARED_FORMULA_13_83_13_83_1">"""SUM(#REF!)"""</definedName>
    <definedName name="SHARED_FORMULA_13_89_13_89_0">"""SUM(#REF!)"""</definedName>
    <definedName name="SHARED_FORMULA_14_100_14_100_1">"""AVERAGE(#REF!)"""</definedName>
    <definedName name="SHARED_FORMULA_14_101_14_101_0">"""AVERAGE(#REF!)"""</definedName>
    <definedName name="SHARED_FORMULA_14_118_14_118_1">"""AVERAGE(#REF!)"""</definedName>
    <definedName name="SHARED_FORMULA_14_122_14_122_0">"""AVERAGE(#REF!)"""</definedName>
    <definedName name="SHARED_FORMULA_14_148_14_148_1">"""AVERAGE(#REF!)"""</definedName>
    <definedName name="SHARED_FORMULA_14_207_14_207_1">"""AVERAGE(#REF!)"""</definedName>
    <definedName name="SHARED_FORMULA_14_28_14_28_0">"""AVERAGE(#REF!)"""</definedName>
    <definedName name="SHARED_FORMULA_14_42_14_42_0">"""AVERAGE(#REF!)"""</definedName>
    <definedName name="SHARED_FORMULA_14_57_14_57_1">"""AVERAGE(#REF!)"""</definedName>
    <definedName name="SHARED_FORMULA_14_64_14_64_0">"""AVERAGE(#REF!)"""</definedName>
    <definedName name="SHARED_FORMULA_14_7_14_7_0">"""AVERAGE(#REF!)"""</definedName>
    <definedName name="SHARED_FORMULA_14_86_14_86_1">"""AVERAGE(#REF!)"""</definedName>
    <definedName name="SHARED_FORMULA_14_89_14_89_0">"""AVERAGE(#REF!)"""</definedName>
    <definedName name="SHARED_FORMULA_14_9_14_9_1">"""AVERAGE(#REF!)"""</definedName>
    <definedName name="SHARED_FORMULA_2_108_2_108_0">"""SUM(#REF!)"""</definedName>
    <definedName name="SHARED_FORMULA_2_112_2_112_0">#REF!</definedName>
    <definedName name="SHARED_FORMULA_2_132_2_132_0">"""SUM(#REF!;#REF!;#REF!;#REF!;#REF!;#REF!;#REF!;#REF!;#REF!;#REF!)"""</definedName>
    <definedName name="SHARED_FORMULA_2_193_2_193_1">"""SUM(#REF!)"""</definedName>
    <definedName name="SHARED_FORMULA_2_214_2_214_1">"""SUM(#REF!;#REF!;#REF!;#REF!;#REF!;#REF!;#REF!;#REF!;#REF!;#REF!)"""</definedName>
    <definedName name="SHARED_FORMULA_2_39_2_39_0">"""SUM(#REF!)"""</definedName>
    <definedName name="SHARED_FORMULA_2_61_2_61_0">"""SUM(#REF!)"""</definedName>
    <definedName name="SHARED_FORMULA_2_79_2_79_1">"""SUM(#REF!)"""</definedName>
    <definedName name="SHARED_FORMULA_2_82_2_82_0">"""SUM(#REF!)"""</definedName>
    <definedName name="SHARED_FORMULA_2_86_2_86_0">#REF!</definedName>
    <definedName name="SHARED_FORMULA_2_98_2_98_0">"""SUM(#REF!)"""</definedName>
  </definedNames>
  <calcPr calcId="162913" iterateDelta="1E-4"/>
</workbook>
</file>

<file path=xl/calcChain.xml><?xml version="1.0" encoding="utf-8"?>
<calcChain xmlns="http://schemas.openxmlformats.org/spreadsheetml/2006/main">
  <c r="Q93" i="2" l="1"/>
  <c r="P93" i="2"/>
  <c r="O89" i="2"/>
  <c r="N89" i="2"/>
  <c r="M89" i="2"/>
  <c r="L89" i="2"/>
  <c r="K89" i="2"/>
  <c r="J89" i="2"/>
  <c r="I89" i="2"/>
  <c r="H89" i="2"/>
  <c r="G89" i="2"/>
  <c r="F89" i="2"/>
  <c r="E89" i="2"/>
  <c r="D89" i="2"/>
  <c r="D91" i="2" s="1"/>
  <c r="Q88" i="2"/>
  <c r="P88" i="2"/>
  <c r="Q87" i="2"/>
  <c r="P87" i="2"/>
  <c r="Q86" i="2"/>
  <c r="P86" i="2"/>
  <c r="O83" i="2"/>
  <c r="N83" i="2"/>
  <c r="M83" i="2"/>
  <c r="L83" i="2"/>
  <c r="K83" i="2"/>
  <c r="J83" i="2"/>
  <c r="I83" i="2"/>
  <c r="H83" i="2"/>
  <c r="G83" i="2"/>
  <c r="F83" i="2"/>
  <c r="E83" i="2"/>
  <c r="D83" i="2"/>
  <c r="Q83" i="2" s="1"/>
  <c r="Q82" i="2"/>
  <c r="P82" i="2"/>
  <c r="Q81" i="2"/>
  <c r="P81" i="2"/>
  <c r="O78" i="2"/>
  <c r="N78" i="2"/>
  <c r="M78" i="2"/>
  <c r="L78" i="2"/>
  <c r="K78" i="2"/>
  <c r="J78" i="2"/>
  <c r="I78" i="2"/>
  <c r="H78" i="2"/>
  <c r="G78" i="2"/>
  <c r="F78" i="2"/>
  <c r="E78" i="2"/>
  <c r="D78" i="2"/>
  <c r="Q78" i="2" s="1"/>
  <c r="Q77" i="2"/>
  <c r="P77" i="2"/>
  <c r="Q76" i="2"/>
  <c r="P76" i="2"/>
  <c r="Q75" i="2"/>
  <c r="P75" i="2"/>
  <c r="O72" i="2"/>
  <c r="N72" i="2"/>
  <c r="M72" i="2"/>
  <c r="L72" i="2"/>
  <c r="K72" i="2"/>
  <c r="K91" i="2" s="1"/>
  <c r="J72" i="2"/>
  <c r="I72" i="2"/>
  <c r="H72" i="2"/>
  <c r="H91" i="2" s="1"/>
  <c r="G72" i="2"/>
  <c r="F72" i="2"/>
  <c r="E72" i="2"/>
  <c r="Q72" i="2" s="1"/>
  <c r="D72" i="2"/>
  <c r="P72" i="2" s="1"/>
  <c r="Q71" i="2"/>
  <c r="P71" i="2"/>
  <c r="Q70" i="2"/>
  <c r="P70" i="2"/>
  <c r="O67" i="2"/>
  <c r="N67" i="2"/>
  <c r="M67" i="2"/>
  <c r="L67" i="2"/>
  <c r="K67" i="2"/>
  <c r="J67" i="2"/>
  <c r="I67" i="2"/>
  <c r="H67" i="2"/>
  <c r="G67" i="2"/>
  <c r="F67" i="2"/>
  <c r="E67" i="2"/>
  <c r="D67" i="2"/>
  <c r="P67" i="2" s="1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O55" i="2"/>
  <c r="N55" i="2"/>
  <c r="M55" i="2"/>
  <c r="L55" i="2"/>
  <c r="K55" i="2"/>
  <c r="J55" i="2"/>
  <c r="I55" i="2"/>
  <c r="H55" i="2"/>
  <c r="G55" i="2"/>
  <c r="F55" i="2"/>
  <c r="E55" i="2"/>
  <c r="D55" i="2"/>
  <c r="Q55" i="2" s="1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O38" i="2"/>
  <c r="N38" i="2"/>
  <c r="M38" i="2"/>
  <c r="L38" i="2"/>
  <c r="K38" i="2"/>
  <c r="J38" i="2"/>
  <c r="I38" i="2"/>
  <c r="H38" i="2"/>
  <c r="G38" i="2"/>
  <c r="F38" i="2"/>
  <c r="E38" i="2"/>
  <c r="D38" i="2"/>
  <c r="Q38" i="2" s="1"/>
  <c r="Q37" i="2"/>
  <c r="P37" i="2"/>
  <c r="Q36" i="2"/>
  <c r="P36" i="2"/>
  <c r="Q35" i="2"/>
  <c r="P35" i="2"/>
  <c r="Q34" i="2"/>
  <c r="P34" i="2"/>
  <c r="O31" i="2"/>
  <c r="N31" i="2"/>
  <c r="M31" i="2"/>
  <c r="L31" i="2"/>
  <c r="K31" i="2"/>
  <c r="J31" i="2"/>
  <c r="I31" i="2"/>
  <c r="H31" i="2"/>
  <c r="G31" i="2"/>
  <c r="F31" i="2"/>
  <c r="E31" i="2"/>
  <c r="Q31" i="2" s="1"/>
  <c r="D31" i="2"/>
  <c r="Q30" i="2"/>
  <c r="P30" i="2"/>
  <c r="Q29" i="2"/>
  <c r="P29" i="2"/>
  <c r="Q28" i="2"/>
  <c r="P28" i="2"/>
  <c r="Q27" i="2"/>
  <c r="P27" i="2"/>
  <c r="P31" i="2" s="1"/>
  <c r="O24" i="2"/>
  <c r="N24" i="2"/>
  <c r="N91" i="2" s="1"/>
  <c r="M24" i="2"/>
  <c r="L24" i="2"/>
  <c r="K24" i="2"/>
  <c r="J24" i="2"/>
  <c r="I24" i="2"/>
  <c r="H24" i="2"/>
  <c r="G24" i="2"/>
  <c r="F24" i="2"/>
  <c r="E24" i="2"/>
  <c r="D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Q24" i="2" s="1"/>
  <c r="P16" i="2"/>
  <c r="P24" i="2" s="1"/>
  <c r="O13" i="2"/>
  <c r="O91" i="2" s="1"/>
  <c r="N13" i="2"/>
  <c r="M13" i="2"/>
  <c r="M91" i="2" s="1"/>
  <c r="L13" i="2"/>
  <c r="L91" i="2" s="1"/>
  <c r="K13" i="2"/>
  <c r="J13" i="2"/>
  <c r="J91" i="2" s="1"/>
  <c r="I13" i="2"/>
  <c r="I91" i="2" s="1"/>
  <c r="H13" i="2"/>
  <c r="G13" i="2"/>
  <c r="G91" i="2" s="1"/>
  <c r="F13" i="2"/>
  <c r="F91" i="2" s="1"/>
  <c r="E13" i="2"/>
  <c r="E91" i="2" s="1"/>
  <c r="D13" i="2"/>
  <c r="Q13" i="2" s="1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90" i="1"/>
  <c r="P90" i="1"/>
  <c r="O86" i="1"/>
  <c r="N86" i="1"/>
  <c r="M86" i="1"/>
  <c r="L86" i="1"/>
  <c r="K86" i="1"/>
  <c r="J86" i="1"/>
  <c r="I86" i="1"/>
  <c r="H86" i="1"/>
  <c r="G86" i="1"/>
  <c r="F86" i="1"/>
  <c r="E86" i="1"/>
  <c r="D86" i="1"/>
  <c r="P86" i="1" s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O75" i="1"/>
  <c r="N75" i="1"/>
  <c r="M75" i="1"/>
  <c r="L75" i="1"/>
  <c r="K75" i="1"/>
  <c r="J75" i="1"/>
  <c r="I75" i="1"/>
  <c r="H75" i="1"/>
  <c r="G75" i="1"/>
  <c r="F75" i="1"/>
  <c r="E75" i="1"/>
  <c r="D75" i="1"/>
  <c r="Q75" i="1" s="1"/>
  <c r="Q74" i="1"/>
  <c r="P74" i="1"/>
  <c r="Q73" i="1"/>
  <c r="P73" i="1"/>
  <c r="Q72" i="1"/>
  <c r="P72" i="1"/>
  <c r="Q71" i="1"/>
  <c r="P71" i="1"/>
  <c r="O68" i="1"/>
  <c r="N68" i="1"/>
  <c r="M68" i="1"/>
  <c r="L68" i="1"/>
  <c r="K68" i="1"/>
  <c r="J68" i="1"/>
  <c r="I68" i="1"/>
  <c r="H68" i="1"/>
  <c r="G68" i="1"/>
  <c r="F68" i="1"/>
  <c r="E68" i="1"/>
  <c r="D68" i="1"/>
  <c r="Q68" i="1" s="1"/>
  <c r="Q67" i="1"/>
  <c r="P67" i="1"/>
  <c r="O64" i="1"/>
  <c r="N64" i="1"/>
  <c r="M64" i="1"/>
  <c r="L64" i="1"/>
  <c r="K64" i="1"/>
  <c r="J64" i="1"/>
  <c r="I64" i="1"/>
  <c r="H64" i="1"/>
  <c r="G64" i="1"/>
  <c r="F64" i="1"/>
  <c r="E64" i="1"/>
  <c r="D64" i="1"/>
  <c r="Q64" i="1" s="1"/>
  <c r="Q63" i="1"/>
  <c r="P63" i="1"/>
  <c r="Q62" i="1"/>
  <c r="P62" i="1"/>
  <c r="Q61" i="1"/>
  <c r="P61" i="1"/>
  <c r="O58" i="1"/>
  <c r="N58" i="1"/>
  <c r="M58" i="1"/>
  <c r="L58" i="1"/>
  <c r="K58" i="1"/>
  <c r="J58" i="1"/>
  <c r="I58" i="1"/>
  <c r="H58" i="1"/>
  <c r="G58" i="1"/>
  <c r="F58" i="1"/>
  <c r="E58" i="1"/>
  <c r="D58" i="1"/>
  <c r="Q58" i="1" s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O47" i="1"/>
  <c r="N47" i="1"/>
  <c r="M47" i="1"/>
  <c r="L47" i="1"/>
  <c r="K47" i="1"/>
  <c r="J47" i="1"/>
  <c r="I47" i="1"/>
  <c r="H47" i="1"/>
  <c r="G47" i="1"/>
  <c r="F47" i="1"/>
  <c r="E47" i="1"/>
  <c r="D47" i="1"/>
  <c r="Q47" i="1" s="1"/>
  <c r="Q46" i="1"/>
  <c r="P46" i="1"/>
  <c r="O43" i="1"/>
  <c r="N43" i="1"/>
  <c r="M43" i="1"/>
  <c r="L43" i="1"/>
  <c r="K43" i="1"/>
  <c r="J43" i="1"/>
  <c r="I43" i="1"/>
  <c r="H43" i="1"/>
  <c r="G43" i="1"/>
  <c r="F43" i="1"/>
  <c r="E43" i="1"/>
  <c r="D43" i="1"/>
  <c r="Q43" i="1" s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O31" i="1"/>
  <c r="N31" i="1"/>
  <c r="M31" i="1"/>
  <c r="L31" i="1"/>
  <c r="K31" i="1"/>
  <c r="J31" i="1"/>
  <c r="I31" i="1"/>
  <c r="H31" i="1"/>
  <c r="G31" i="1"/>
  <c r="F31" i="1"/>
  <c r="E31" i="1"/>
  <c r="D31" i="1"/>
  <c r="Q31" i="1" s="1"/>
  <c r="Q30" i="1"/>
  <c r="P30" i="1"/>
  <c r="Q29" i="1"/>
  <c r="P29" i="1"/>
  <c r="O26" i="1"/>
  <c r="N26" i="1"/>
  <c r="M26" i="1"/>
  <c r="L26" i="1"/>
  <c r="K26" i="1"/>
  <c r="J26" i="1"/>
  <c r="I26" i="1"/>
  <c r="H26" i="1"/>
  <c r="G26" i="1"/>
  <c r="F26" i="1"/>
  <c r="E26" i="1"/>
  <c r="D26" i="1"/>
  <c r="Q26" i="1" s="1"/>
  <c r="Q86" i="1" s="1"/>
  <c r="Q25" i="1"/>
  <c r="P25" i="1"/>
  <c r="Q24" i="1"/>
  <c r="P24" i="1"/>
  <c r="Q23" i="1"/>
  <c r="P23" i="1"/>
  <c r="Q22" i="1"/>
  <c r="P22" i="1"/>
  <c r="Q21" i="1"/>
  <c r="P21" i="1"/>
  <c r="Q20" i="1"/>
  <c r="P20" i="1"/>
  <c r="O17" i="1"/>
  <c r="N17" i="1"/>
  <c r="M17" i="1"/>
  <c r="L17" i="1"/>
  <c r="K17" i="1"/>
  <c r="J17" i="1"/>
  <c r="I17" i="1"/>
  <c r="H17" i="1"/>
  <c r="G17" i="1"/>
  <c r="F17" i="1"/>
  <c r="E17" i="1"/>
  <c r="D17" i="1"/>
  <c r="Q17" i="1" s="1"/>
  <c r="Q16" i="1"/>
  <c r="P16" i="1"/>
  <c r="O13" i="1"/>
  <c r="O88" i="1" s="1"/>
  <c r="N13" i="1"/>
  <c r="N88" i="1" s="1"/>
  <c r="M13" i="1"/>
  <c r="M88" i="1" s="1"/>
  <c r="L13" i="1"/>
  <c r="L88" i="1" s="1"/>
  <c r="K13" i="1"/>
  <c r="K88" i="1" s="1"/>
  <c r="J13" i="1"/>
  <c r="J88" i="1" s="1"/>
  <c r="I13" i="1"/>
  <c r="I88" i="1" s="1"/>
  <c r="H13" i="1"/>
  <c r="H88" i="1" s="1"/>
  <c r="G13" i="1"/>
  <c r="G88" i="1" s="1"/>
  <c r="F13" i="1"/>
  <c r="F88" i="1" s="1"/>
  <c r="E13" i="1"/>
  <c r="E88" i="1" s="1"/>
  <c r="D13" i="1"/>
  <c r="D88" i="1" s="1"/>
  <c r="Q12" i="1"/>
  <c r="P12" i="1"/>
  <c r="Q11" i="1"/>
  <c r="P11" i="1"/>
  <c r="Q10" i="1"/>
  <c r="P10" i="1"/>
  <c r="Q9" i="1"/>
  <c r="P9" i="1"/>
  <c r="Q8" i="1"/>
  <c r="Q7" i="1"/>
  <c r="P7" i="1"/>
  <c r="Q6" i="1"/>
  <c r="P6" i="1"/>
  <c r="Q5" i="1"/>
  <c r="P5" i="1"/>
  <c r="Q88" i="1" l="1"/>
  <c r="P88" i="1"/>
  <c r="Q67" i="2"/>
  <c r="Q91" i="2"/>
  <c r="P91" i="2"/>
  <c r="P38" i="2"/>
  <c r="P13" i="1"/>
  <c r="P31" i="1"/>
  <c r="P47" i="1"/>
  <c r="Q13" i="1"/>
  <c r="P64" i="1"/>
  <c r="P78" i="2"/>
  <c r="P17" i="1"/>
  <c r="P75" i="1"/>
  <c r="P55" i="2"/>
  <c r="P89" i="2"/>
  <c r="Q89" i="2"/>
  <c r="P26" i="1"/>
  <c r="P58" i="1"/>
  <c r="P68" i="1"/>
  <c r="P43" i="1"/>
  <c r="P13" i="2"/>
  <c r="P83" i="2"/>
</calcChain>
</file>

<file path=xl/sharedStrings.xml><?xml version="1.0" encoding="utf-8"?>
<sst xmlns="http://schemas.openxmlformats.org/spreadsheetml/2006/main" count="616" uniqueCount="240">
  <si>
    <t>CMA - PROCEDIMENTOS CIRÚRGICOS DE BAIXA COMPLEXIDADE DE DEZEMBRO DE 2024 - AME CARAGUATATUBA</t>
  </si>
  <si>
    <t>PROCEDIMENTO CIRURGIA GERAL</t>
  </si>
  <si>
    <t>Código SUS</t>
  </si>
  <si>
    <t>Valor Unitário pago/ faturado por procedimento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</si>
  <si>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</si>
  <si>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</si>
  <si>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</si>
  <si>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</si>
  <si>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</si>
  <si>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</si>
  <si>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</si>
  <si>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</si>
  <si>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</si>
  <si>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</si>
  <si>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</si>
  <si>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</si>
  <si>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</si>
  <si>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MÉDIA/MÊS</t>
  </si>
  <si>
    <t>EXCISÃO E SUTURA DE LESÃO NA PELE C/ PLÁSTICA EM Z OU ROTAÇÃO DE RETALHO</t>
  </si>
  <si>
    <t>04.01.02.005-3</t>
  </si>
  <si>
    <t>EXERESE DE CISTO DERMOIDE</t>
  </si>
  <si>
    <t>04.01.02.007-0</t>
  </si>
  <si>
    <t>EXERESE DE CISTO SACRO-COCCÍGEO</t>
  </si>
  <si>
    <t>04.01.02.008-8</t>
  </si>
  <si>
    <t>HERNIOPLASTIA EPIGÁSTRICA</t>
  </si>
  <si>
    <t>04.07.04.006-4</t>
  </si>
  <si>
    <t>HERNIOPLASTIA INCISIONAL</t>
  </si>
  <si>
    <t>04.07.04.008-0</t>
  </si>
  <si>
    <t>HERNIOPLASTIA INGUINAL / CRURAL (UNILATERAL /  BILATERAL )</t>
  </si>
  <si>
    <t>04.07.04.010-2</t>
  </si>
  <si>
    <t>HERNIOPLASTIA RECIDIVANTE</t>
  </si>
  <si>
    <t>04.07.04.011-0</t>
  </si>
  <si>
    <t>HERNIOPLASTIA UMBILICAL</t>
  </si>
  <si>
    <t xml:space="preserve"> 04.07.04.012-9</t>
  </si>
  <si>
    <t>TOTAL EM CIRURGIA GERAL</t>
  </si>
  <si>
    <t>PROCEDIMENTO CABEÇA E PESCOÇO</t>
  </si>
  <si>
    <t>PAAF DE TIREOIDE</t>
  </si>
  <si>
    <t>02.01.01.047-0</t>
  </si>
  <si>
    <t>TOTAL EM CABELA E PESCOÇO</t>
  </si>
  <si>
    <t>PROCEDIMENTO OFTALMOLOGIA</t>
  </si>
  <si>
    <t>BLEFAROCALASE / BLEFAROPLASTIA</t>
  </si>
  <si>
    <t>04.05.01.018-4</t>
  </si>
  <si>
    <t>CAPSULOTOMIA A YAG LASER</t>
  </si>
  <si>
    <t>04.05.05.002-0</t>
  </si>
  <si>
    <t>CATARATA / FACECTOMIA / FACOEMULSIFICAÇÃO COM OU SEM IMPLANTE DE LENTE INTRA-OCULAR (LIO) / REPOSICIONAMENT0 DE LIO/ IMPLANTE SECUNDÁRIO DE LIO</t>
  </si>
  <si>
    <t>04.05.05.009-7/ 04.05.05.011-9</t>
  </si>
  <si>
    <t xml:space="preserve"> </t>
  </si>
  <si>
    <t>ENTROPIO E ECTROPIO - CORREÇÃO CIRÚRGIA</t>
  </si>
  <si>
    <t>04.05.01.001-0 </t>
  </si>
  <si>
    <t>ESTRABISMO</t>
  </si>
  <si>
    <t>04.05.02.002-3</t>
  </si>
  <si>
    <t>TABECULECTOMIA / GLAUCOMA / IRIDECTOMIA - IRIDOTOMIA A YAG LASER</t>
  </si>
  <si>
    <t>04.05.05.032-1/ 04.05.05.017-8</t>
  </si>
  <si>
    <t>898,35/ 297,46</t>
  </si>
  <si>
    <t>TOTAL EM OFTALMOLOGIA</t>
  </si>
  <si>
    <t>PROCEDIMENTO ORTOPEDIA</t>
  </si>
  <si>
    <t>Codigo SUS</t>
  </si>
  <si>
    <t>Valor Unitario pago/ faturado por procedimento</t>
  </si>
  <si>
    <t>LIBERAÇÃO DEDO EM GATILHO</t>
  </si>
  <si>
    <t>04.08.02.032-6</t>
  </si>
  <si>
    <t>TRATAMENTO CIRURGICO DE SÍNDROME COMPRESSIVA EM TUNEL DO CARPO OSTEO-FIBROSO AO NIVEL DO CARPO</t>
  </si>
  <si>
    <t>04.03.02.012-3</t>
  </si>
  <si>
    <t>TOTAL EM ORTOPEDIA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</si>
  <si>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</si>
  <si>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PROCEDIMENTO DE UROLOGIA</t>
  </si>
  <si>
    <t>BIOPSIA DE PROSTATA / CORE BIOPSY DE PROSTATA</t>
  </si>
  <si>
    <t>02.01.01.041-0</t>
  </si>
  <si>
    <t>DILATAÇÃO URETRAL/MEATOPLASTIA / URETROTOMIA / URETROMIA INTERNA</t>
  </si>
  <si>
    <t>04.09.02.017-6</t>
  </si>
  <si>
    <t>EXERESE OU RESSECÇÃO DE CISTO SACRO-COCCIGEO</t>
  </si>
  <si>
    <t>FRENULOPLASTIA / FRENECTOMIA / PLÁSTICA DE FREIO BALANO PREPUCIAL</t>
  </si>
  <si>
    <t>04.01.01.008-2</t>
  </si>
  <si>
    <t>ORQUIDOPEXIA / CRIPTORQUIDIA</t>
  </si>
  <si>
    <t>04.09.04.013-4</t>
  </si>
  <si>
    <t>ORQUIECTOMIA BILATERAL</t>
  </si>
  <si>
    <t>04.09.04.014-2</t>
  </si>
  <si>
    <t>POSTECTOMIA / CIRCUNCISÃO / FIMOSE</t>
  </si>
  <si>
    <t>04.09.05.008-3</t>
  </si>
  <si>
    <t>URETROCISTOSCOPIA / URETROSCOPIA</t>
  </si>
  <si>
    <t>02.09.02.001-6</t>
  </si>
  <si>
    <t>VASECTOMIA</t>
  </si>
  <si>
    <t>04.09.04.024-0</t>
  </si>
  <si>
    <t>TOTAL EM UROLOGIA</t>
  </si>
  <si>
    <t>PROCEDIMENTO DE VASCULAR</t>
  </si>
  <si>
    <t>VARIZES / SAFENECTOMIA</t>
  </si>
  <si>
    <t>04.06.02.057-4</t>
  </si>
  <si>
    <t>TOTAL EM VASCULAR</t>
  </si>
  <si>
    <t>PROCEDIMENTO DE PLÁSTICA</t>
  </si>
  <si>
    <t>ENTROPIO E ECTROPIO</t>
  </si>
  <si>
    <t>04.05.01.001-0</t>
  </si>
  <si>
    <t>EXCISÃO E ENXERTO DE PELE (HEMANGIOMA, NEVUS, LINFANGIOMA E TUMOR)</t>
  </si>
  <si>
    <t>04.01.02.004-5</t>
  </si>
  <si>
    <t>EXERESE DE MAMILO EXTRA NUMÉRICO / EXERESE DE MAMILO</t>
  </si>
  <si>
    <t>04.10.01.003-0/ 04.13.03.008-3</t>
  </si>
  <si>
    <t>20,74/ 568,89</t>
  </si>
  <si>
    <t>TRATAMENTO CIRÚRGICO DE RINOFIMA</t>
  </si>
  <si>
    <t>04.04.01.055-5</t>
  </si>
  <si>
    <t>NINFOPLASTIA / LABIOPLASTIA / CORREÇÃO DE PEQUENOS LÁBIOS</t>
  </si>
  <si>
    <t>04.09.07.026-2</t>
  </si>
  <si>
    <t>OTOPLASTIA / TRAT. CIRÚRGICO NÃO ESTÉTICO DA ORELHA / PLÁSTICA ORELHA / ORELHA ABANO</t>
  </si>
  <si>
    <t>04.13.04.023-2</t>
  </si>
  <si>
    <t>TOTAL EM PLÁSTICA</t>
  </si>
  <si>
    <t>PROCEDIMENTO DE MASTOLOGIA</t>
  </si>
  <si>
    <t>BIOPSIA - EXERESE DE NÓDULO DE MAMA / CORE BIOPSIA DE MAMA / EXÉRESE DE
LIPOMA / NODULECTOMIA DE MAMA / PAAF DE MAMA</t>
  </si>
  <si>
    <t>02.01.01.056-9/  04.10.01.011-1/02.01.01.058-5</t>
  </si>
  <si>
    <t>70,00/ 313,44/66,48</t>
  </si>
  <si>
    <t>EXERESE DE MAMA ACESSÓRIA</t>
  </si>
  <si>
    <t>04.10.01.003-0</t>
  </si>
  <si>
    <t>SETORECTOMIA DE MAMA</t>
  </si>
  <si>
    <t>02.01.01.056-9</t>
  </si>
  <si>
    <t>TOTAL EM MASTOLOGIA</t>
  </si>
  <si>
    <t>PROCEDIMENTO DE DERMATOLOGIA</t>
  </si>
  <si>
    <t>EXERESE COM ENXERTO</t>
  </si>
  <si>
    <t>04.16.08.001-4</t>
  </si>
  <si>
    <t>TOTAL EM DERMATOLOGIA</t>
  </si>
  <si>
    <t>PROCEDIMENTO DE PROCTOLOGIA</t>
  </si>
  <si>
    <t>FISTULECTOMIA</t>
  </si>
  <si>
    <t>04.07.02.028-4</t>
  </si>
  <si>
    <t>HEMORROIDECTOMIA / FISSURECTOMIA COM OU SEM ESFINCTEROTOMIA</t>
  </si>
  <si>
    <t>PLÁSTICA ANAL - ANOPLASTIA</t>
  </si>
  <si>
    <t>04.07.02.032-2</t>
  </si>
  <si>
    <t>TOTAL EM PROCTOLOGIA</t>
  </si>
  <si>
    <t>PROCEDIMENTO DE PEDIATRIA</t>
  </si>
  <si>
    <t>CURETAGEM DE LESÃO CUTÂNEA / EXCISÃO E SUTURA DE HEMANGIOMA</t>
  </si>
  <si>
    <t>04.06.02.013-12</t>
  </si>
  <si>
    <t>HERNIORRAFIA EPIGÁSTRICA / HERNIORRAFIA ESCROTAL / HERNIORRAFIA INCISIONAL  / HERNIORRAFIA INGUINAL / HERNIORRAFIA UMBILICAL</t>
  </si>
  <si>
    <t xml:space="preserve"> 04.07.04.008-0/04.07.04.012-9/04.07.04.006-4/ 04.07.04.010-2/ 04.0704.012-9</t>
  </si>
  <si>
    <t>539,92/ 434,99/559,87/ 445,51/434,99</t>
  </si>
  <si>
    <t>HIDROCELECTOMIA</t>
  </si>
  <si>
    <t>04.09.04.021-5</t>
  </si>
  <si>
    <t>HIPOSPADIA</t>
  </si>
  <si>
    <t>04.09.05.003-2</t>
  </si>
  <si>
    <t>ORQUIDOPEXIA</t>
  </si>
  <si>
    <t>PLICOMA</t>
  </si>
  <si>
    <t>04.01.01.005-8</t>
  </si>
  <si>
    <t>POLIDACTILIA</t>
  </si>
  <si>
    <t>04.08.06.065-4</t>
  </si>
  <si>
    <t>POSTECTOMIA</t>
  </si>
  <si>
    <t>TOTAL EM PEDIATRIA</t>
  </si>
  <si>
    <t>TOTAL GERAL</t>
  </si>
  <si>
    <t>TOTAL DE DIAS ÚTEIS POR MÊS</t>
  </si>
  <si>
    <t>CDR / MUTIRÃO (CMA)</t>
  </si>
  <si>
    <t>DEZEMBRO</t>
  </si>
  <si>
    <t>FACECTOMIA / FACOEMULSIFICAÇÃO COM OU SEM IMPLANTE DE LENTE (LIO)</t>
  </si>
  <si>
    <t>HERNIOPLASTIA INGUINAL</t>
  </si>
  <si>
    <t>cma - PROCEDIMENTOS CIRÚRGICOS DE BAIXA COMPLEXIDADE DE DEZEMBRO DE 2024 - AME CARAGUATATUBA</t>
  </si>
  <si>
    <t>BIOPSIA DE PELE</t>
  </si>
  <si>
    <t>02.01.01.037-2</t>
  </si>
  <si>
    <t>CANTOPLASTIA - CIRURGIA DE UNHA</t>
  </si>
  <si>
    <t>04.01.02.017-7</t>
  </si>
  <si>
    <t>DRENAGEM DE ABSCESSO</t>
  </si>
  <si>
    <t>04.01.01.003-1</t>
  </si>
  <si>
    <t>EXCISÃO DE LESÃO E/OU SUTURA DE FERIMENTOS DA PELE, ANEXOS, PARTES MOLES E MUCOSA</t>
  </si>
  <si>
    <t>EXCISAO E ENXERTO DE PELE (HEMANGIOMA, LINFANGIOMA, NEVUS OU TUMOR )</t>
  </si>
  <si>
    <t>EXÉRESE DE CISTO SEBÁCEO</t>
  </si>
  <si>
    <t>04.01.01.007-4</t>
  </si>
  <si>
    <t>EXÉRESE DE LIPOMA</t>
  </si>
  <si>
    <t>EXERESE DE TUMOR DE PELE E ANEXOS</t>
  </si>
  <si>
    <t>PROCEDIMENTO EM OFTALMOLOGIA</t>
  </si>
  <si>
    <t>CALÁZIO / EXERESE DE CISTO NA PÁLPEBRA</t>
  </si>
  <si>
    <t>04.05.01.007-9</t>
  </si>
  <si>
    <t>EPILAÇÃO DE CÍLIOS</t>
  </si>
  <si>
    <t>04.05.01.006-0</t>
  </si>
  <si>
    <t>EXERESE DE TUMOR DE CONJUNTIVA</t>
  </si>
  <si>
    <t>04.05.05.008-9</t>
  </si>
  <si>
    <t>FOTOCOAGULAÇÃO A LASER/PAN-FOTOCOAGULAÇÃO DE RETINA A LASER</t>
  </si>
  <si>
    <t>04.05.03.004-5</t>
  </si>
  <si>
    <t>INJEÇÃO DE BEVACIZUMABE (AVASTIN) / INJEÇÃO INTRA-VITREA</t>
  </si>
  <si>
    <t>04.05.03.005-3</t>
  </si>
  <si>
    <t>INJEÇÃO DE TRIANCINOLONA</t>
  </si>
  <si>
    <t>TRATAMENTO CIRÚRGICO DE PTERÍGIO</t>
  </si>
  <si>
    <t>04.05.05.036-4</t>
  </si>
  <si>
    <t>RETIRADA DE CORPO ESTRANHO DA CÂMARA ANTERIOR DO OLHO</t>
  </si>
  <si>
    <t>04.05.05.024-0</t>
  </si>
  <si>
    <t>DRENAGEM + INFILTRAÇÃO</t>
  </si>
  <si>
    <t>03.03.09.003-0 </t>
  </si>
  <si>
    <t>EXERESE DE CISTO SEBACEO / NÓDULO / TUMOR</t>
  </si>
  <si>
    <t>RESSECÇÃO DE CISTO SINOVIAL / SINOVECTOMIA / PUNÇÃO / INFILTRAÇÃO DE SUBSTANCIAS EM CAVIDADE SINOVIAL</t>
  </si>
  <si>
    <t>04.08.06.021-2/  04.08.02.030-0 /03.03.09.003-0 </t>
  </si>
  <si>
    <t>91,49/ 194,89/ 5,63</t>
  </si>
  <si>
    <t>RESSECÇÃO DE CORPO ESTRANHO</t>
  </si>
  <si>
    <t>04.08.06.032-8 </t>
  </si>
  <si>
    <t>BIÓPSIA DE BOLSA ESCROTAL / EXERESE DE CISTO ESCROTAL / EXERESE DE CISTO DE BOLSA ESCROTAL</t>
  </si>
  <si>
    <t>02.01.01.007-0</t>
  </si>
  <si>
    <t>MEATOTOMIA</t>
  </si>
  <si>
    <t>04.09.02.007-9 </t>
  </si>
  <si>
    <t>BIÓPSIA DE PÊNIS</t>
  </si>
  <si>
    <t>02.01.01.038-0</t>
  </si>
  <si>
    <t>ELETROCAUTERIZAÇÃO / ELETROCOAGULAÇÃO</t>
  </si>
  <si>
    <t>04.01.01.004-0</t>
  </si>
  <si>
    <t>PROCEDIMENTO DE CIRURGIA PLÁSTICA</t>
  </si>
  <si>
    <t>Abcesso de mama</t>
  </si>
  <si>
    <t>04.10.01.001-4</t>
  </si>
  <si>
    <t>Biópsia com Punch</t>
  </si>
  <si>
    <t>02.01.01.002-0</t>
  </si>
  <si>
    <t>Biopsia de pele e partes moles</t>
  </si>
  <si>
    <t>Biopsia de unha / Exerese de unha</t>
  </si>
  <si>
    <t>Calázio / Exerese de tumor de palpebra</t>
  </si>
  <si>
    <t>Cantoplastia</t>
  </si>
  <si>
    <t>Curatico com sedação</t>
  </si>
  <si>
    <t>04.401.01.001-5</t>
  </si>
  <si>
    <t>Curetagem/retirada de molusco</t>
  </si>
  <si>
    <t>04.01.01.006-6</t>
  </si>
  <si>
    <t>Exerese de cisto / lipoma / lesão / gânglios</t>
  </si>
  <si>
    <t>Excisão  e/ou sutura simples de pequenas lesões/ ferimentos de pele/ anexo e mucosas</t>
  </si>
  <si>
    <t>Fulguracao / Cauterizacao quimica de lesoes cutaneas / Eletrocauterização / Shaving / eletrocoagulação</t>
  </si>
  <si>
    <t>04.01.01.009-0</t>
  </si>
  <si>
    <t>Infiltração de quelóide</t>
  </si>
  <si>
    <t>Exerese de corpo estranho</t>
  </si>
  <si>
    <t>Lóbuloplastia / Reconstrução do lóbulo da orelha (orelha bífida) / Abcesso lóbulo superior</t>
  </si>
  <si>
    <t>04.13.04.011-9</t>
  </si>
  <si>
    <t>TOTAL EM CIRURGIA PLASTICA</t>
  </si>
  <si>
    <t>BIOPSIA DE PELE E PARTES MOLES</t>
  </si>
  <si>
    <t>CANTOPLASTIA</t>
  </si>
  <si>
    <t>ELETROCAUTERIZAÇÃO / ELETROCOAGULAÇÃO / SHAVING - RETIRADA DE LESÃO / DESBASTAMENTO / CALOSIDADE E/OU MAL PERFURANTE - DESBASTAMENTO (POR LESÃO) / CAUTERIZAÇÃO QUÍMICA / CRIOTERAPIA/ FULGURAÇÃO</t>
  </si>
  <si>
    <t>CURETAGEM  DE MOLUSCO</t>
  </si>
  <si>
    <t>04.01.02.010-0</t>
  </si>
  <si>
    <t>EXERESE DE TUMOR DE PELE E ANEXOS / CISTO SEBÁCEO</t>
  </si>
  <si>
    <t>EXCISÃO DE LESÃO E/OU SUTURA DE FERIMENTO DA PELE ANEXOS E MUCOSA</t>
  </si>
  <si>
    <t>EXERESE DE CISTOS/LIPOMAS/NEVUS/LINFANGIOMA</t>
  </si>
  <si>
    <t>EXCISÃO E SUTURA DE LESÃO NA PELE C/ ROTAÇÃO DE RETALHO</t>
  </si>
  <si>
    <t>INFILTRAÇÃO INTRALESIONAL, CICATRICIAL E HEMANGIOMAS - POR SESSÃO</t>
  </si>
  <si>
    <t>PROCEDIMENTO DE CIRURGIA MASTOLOGIA</t>
  </si>
  <si>
    <t>BIOPSIA DE LESÃO DE PARTES MOLE (POR AGULHA/CEU ABERTO)</t>
  </si>
  <si>
    <t>02.01.01.026-7</t>
  </si>
  <si>
    <t>DRENAGEM DE ABSCESSO DE MAMA</t>
  </si>
  <si>
    <t>TOTAL EM CIRURGIA MASTOLOGIA</t>
  </si>
  <si>
    <t>PROCEDIMENTO DE CIRURGIA PEDIATRIA</t>
  </si>
  <si>
    <t>04.09.02.007-9</t>
  </si>
  <si>
    <t>EXERESE DE CISTO SEBÁCEO / EXERESE DE LESÃO / EXERESE DE LIPOMA / EXERESE DE TUMOR / EXERESE DE CISTO PILONIDAL</t>
  </si>
  <si>
    <t>TOTAL EM CIRURGIA PEDIATRIA</t>
  </si>
  <si>
    <t>PROCEDIMENTO DE CIRURGIA PROCTOLOGIA</t>
  </si>
  <si>
    <t>TRATAMENTO ESCLEROSANTE/LIGADURA ELÁSTICA</t>
  </si>
  <si>
    <t>04.07.01.032-7</t>
  </si>
  <si>
    <t>TOTAL EM CIRURGIA PROCTOLOGIA</t>
  </si>
  <si>
    <t>PROCEDIMENTO DE CIRURGIA VASCULAR</t>
  </si>
  <si>
    <t>DESBRIDAMENTO</t>
  </si>
  <si>
    <t>04.15.04.003-5</t>
  </si>
  <si>
    <t>EXCISÃO E SUTURA DE LINFANGIOMA / NEVUS</t>
  </si>
  <si>
    <t>TOTAL EM CIRURGIA VASCULAR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</si>
</sst>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sz val="9"/>
      <color rgb="FF000000"/>
      <name val="Arial"/>
      <family val="2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  <font>
      <i/>
      <u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B3A2C7"/>
        <bgColor rgb="FFB3A2C7"/>
      </patternFill>
    </fill>
    <fill>
      <patternFill patternType="solid">
        <fgColor rgb="FFCCC1DA"/>
        <bgColor rgb="FFCCC1DA"/>
      </patternFill>
    </fill>
    <fill>
      <patternFill patternType="solid">
        <fgColor rgb="FFCFB8D6"/>
        <bgColor rgb="FFCFB8D6"/>
      </patternFill>
    </fill>
    <fill>
      <patternFill patternType="solid">
        <fgColor rgb="FFFFFFFF"/>
        <bgColor rgb="FFFFFFFF"/>
      </patternFill>
    </fill>
    <fill>
      <patternFill patternType="solid">
        <fgColor rgb="FF969696"/>
        <bgColor rgb="FF969696"/>
      </patternFill>
    </fill>
    <fill>
      <patternFill patternType="solid">
        <fgColor rgb="FFFFD7D7"/>
        <bgColor rgb="FFFFD7D7"/>
      </patternFill>
    </fill>
    <fill>
      <patternFill patternType="solid">
        <fgColor rgb="FFCCCCFF"/>
        <bgColor rgb="FFCCCCFF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70">
    <xf numFmtId="0" fontId="0" fillId="0" borderId="0" xfId="0"/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wrapText="1"/>
    </xf>
    <xf numFmtId="0" fontId="0" fillId="11" borderId="5" xfId="0" applyFill="1" applyBorder="1" applyAlignment="1">
      <alignment horizontal="center" vertical="center"/>
    </xf>
    <xf numFmtId="0" fontId="0" fillId="12" borderId="5" xfId="0" applyFill="1" applyBorder="1"/>
    <xf numFmtId="0" fontId="0" fillId="12" borderId="5" xfId="0" applyFill="1" applyBorder="1" applyAlignment="1">
      <alignment horizontal="center"/>
    </xf>
    <xf numFmtId="0" fontId="0" fillId="12" borderId="0" xfId="0" applyFill="1"/>
    <xf numFmtId="0" fontId="0" fillId="12" borderId="5" xfId="0" applyFill="1" applyBorder="1" applyAlignment="1">
      <alignment horizontal="right"/>
    </xf>
    <xf numFmtId="0" fontId="0" fillId="13" borderId="5" xfId="0" applyFill="1" applyBorder="1" applyAlignment="1">
      <alignment horizontal="center"/>
    </xf>
    <xf numFmtId="0" fontId="2" fillId="10" borderId="5" xfId="0" applyFont="1" applyFill="1" applyBorder="1" applyAlignment="1">
      <alignment horizontal="center" wrapText="1"/>
    </xf>
    <xf numFmtId="0" fontId="0" fillId="10" borderId="5" xfId="0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center"/>
    </xf>
    <xf numFmtId="0" fontId="2" fillId="10" borderId="5" xfId="0" applyFont="1" applyFill="1" applyBorder="1" applyAlignment="1">
      <alignment horizontal="center" vertical="center" wrapText="1"/>
    </xf>
    <xf numFmtId="0" fontId="0" fillId="12" borderId="5" xfId="0" applyFill="1" applyBorder="1" applyAlignment="1">
      <alignment wrapText="1"/>
    </xf>
    <xf numFmtId="0" fontId="0" fillId="12" borderId="5" xfId="0" applyFill="1" applyBorder="1" applyAlignment="1">
      <alignment horizontal="center" vertical="center" wrapText="1"/>
    </xf>
    <xf numFmtId="0" fontId="0" fillId="12" borderId="5" xfId="0" applyFill="1" applyBorder="1" applyAlignment="1">
      <alignment vertical="center" wrapText="1"/>
    </xf>
    <xf numFmtId="0" fontId="0" fillId="12" borderId="5" xfId="0" applyFill="1" applyBorder="1" applyAlignment="1">
      <alignment horizontal="right" wrapText="1"/>
    </xf>
    <xf numFmtId="0" fontId="0" fillId="12" borderId="5" xfId="0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/>
    </xf>
    <xf numFmtId="2" fontId="0" fillId="12" borderId="5" xfId="0" applyNumberFormat="1" applyFill="1" applyBorder="1" applyAlignment="1">
      <alignment wrapText="1"/>
    </xf>
    <xf numFmtId="0" fontId="0" fillId="12" borderId="5" xfId="0" applyFill="1" applyBorder="1" applyAlignment="1">
      <alignment vertical="top" wrapText="1"/>
    </xf>
    <xf numFmtId="0" fontId="0" fillId="12" borderId="5" xfId="0" applyFill="1" applyBorder="1" applyAlignment="1">
      <alignment horizontal="right" vertical="top" wrapText="1"/>
    </xf>
    <xf numFmtId="0" fontId="14" fillId="0" borderId="0" xfId="0" applyFont="1" applyAlignment="1">
      <alignment horizontal="center"/>
    </xf>
    <xf numFmtId="0" fontId="0" fillId="12" borderId="8" xfId="0" applyFill="1" applyBorder="1" applyAlignment="1">
      <alignment vertical="center" wrapText="1"/>
    </xf>
    <xf numFmtId="0" fontId="0" fillId="12" borderId="5" xfId="0" applyFill="1" applyBorder="1" applyAlignment="1"/>
    <xf numFmtId="0" fontId="0" fillId="12" borderId="5" xfId="0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12" borderId="5" xfId="0" applyFill="1" applyBorder="1" applyAlignment="1">
      <alignment horizontal="right" vertical="center" wrapText="1"/>
    </xf>
    <xf numFmtId="0" fontId="0" fillId="12" borderId="5" xfId="0" applyFill="1" applyBorder="1" applyAlignment="1" applyProtection="1">
      <alignment horizontal="center" vertical="top" wrapText="1"/>
    </xf>
    <xf numFmtId="0" fontId="2" fillId="9" borderId="5" xfId="0" applyFon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4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0" fillId="0" borderId="2" xfId="0" applyFill="1" applyBorder="1"/>
    <xf numFmtId="0" fontId="2" fillId="9" borderId="3" xfId="0" applyFont="1" applyFill="1" applyBorder="1" applyAlignment="1">
      <alignment horizontal="center" vertical="center"/>
    </xf>
    <xf numFmtId="0" fontId="0" fillId="0" borderId="4" xfId="0" applyFill="1" applyBorder="1"/>
    <xf numFmtId="0" fontId="0" fillId="0" borderId="7" xfId="0" applyFill="1" applyBorder="1"/>
    <xf numFmtId="0" fontId="0" fillId="0" borderId="4" xfId="0" applyFill="1" applyBorder="1" applyAlignment="1">
      <alignment horizontal="center"/>
    </xf>
    <xf numFmtId="0" fontId="0" fillId="12" borderId="5" xfId="0" applyFill="1" applyBorder="1"/>
    <xf numFmtId="0" fontId="2" fillId="9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2" fillId="9" borderId="5" xfId="0" applyFont="1" applyFill="1" applyBorder="1"/>
    <xf numFmtId="0" fontId="0" fillId="13" borderId="5" xfId="0" applyFill="1" applyBorder="1" applyAlignment="1">
      <alignment horizontal="right"/>
    </xf>
    <xf numFmtId="0" fontId="16" fillId="1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 wrapText="1"/>
    </xf>
    <xf numFmtId="2" fontId="0" fillId="0" borderId="5" xfId="0" applyNumberFormat="1" applyBorder="1" applyAlignment="1">
      <alignment wrapText="1"/>
    </xf>
    <xf numFmtId="0" fontId="0" fillId="12" borderId="5" xfId="0" applyFill="1" applyBorder="1" applyAlignment="1" applyProtection="1">
      <alignment horizontal="center" vertical="center" wrapText="1"/>
    </xf>
    <xf numFmtId="0" fontId="0" fillId="0" borderId="5" xfId="0" applyFill="1" applyBorder="1" applyAlignment="1">
      <alignment horizontal="center"/>
    </xf>
    <xf numFmtId="0" fontId="2" fillId="9" borderId="5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justify"/>
    </xf>
    <xf numFmtId="0" fontId="0" fillId="0" borderId="0" xfId="0" applyFont="1"/>
    <xf numFmtId="0" fontId="0" fillId="0" borderId="5" xfId="0" applyFill="1" applyBorder="1"/>
    <xf numFmtId="0" fontId="2" fillId="9" borderId="5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</cellXfs>
  <cellStyles count="19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" xfId="9"/>
    <cellStyle name="Heading 1" xfId="10"/>
    <cellStyle name="Heading 2" xfId="11"/>
    <cellStyle name="Hyperlink" xfId="12"/>
    <cellStyle name="Neutral" xfId="13"/>
    <cellStyle name="Normal" xfId="0" builtinId="0" customBuiltin="1"/>
    <cellStyle name="Note" xfId="14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97560</xdr:colOff>
      <xdr:row>0</xdr:row>
      <xdr:rowOff>36000</xdr:rowOff>
    </xdr:from>
    <xdr:ext cx="2026800" cy="363959"/>
    <xdr:pic>
      <xdr:nvPicPr>
        <xdr:cNvPr id="3" name="Imagem 3">
          <a:extLst>
            <a:ext uri="{FF2B5EF4-FFF2-40B4-BE49-F238E27FC236}">
              <a16:creationId xmlns:a16="http://schemas.microsoft.com/office/drawing/2014/main" id="{00000000-0000-0000-0000-00000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1385" y="36000"/>
          <a:ext cx="2026800" cy="363959"/>
        </a:xfrm>
        <a:prstGeom prst="rect">
          <a:avLst/>
        </a:prstGeom>
        <a:noFill/>
        <a:ln cap="flat">
          <a:noFill/>
        </a:ln>
      </xdr:spPr>
    </xdr:pic>
    <xdr:clientData/>
  </xdr:oneCellAnchor>
  <xdr:absoluteAnchor>
    <xdr:pos x="11880" y="47520"/>
    <xdr:ext cx="2258640" cy="340200"/>
    <xdr:pic>
      <xdr:nvPicPr>
        <xdr:cNvPr id="2" name="Imagem 4">
          <a:extLst>
            <a:ext uri="{FF2B5EF4-FFF2-40B4-BE49-F238E27FC236}">
              <a16:creationId xmlns:a16="http://schemas.microsoft.com/office/drawing/2014/main" id="{00000000-0000-0000-0000-00000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  <a:grayscl/>
        </a:blip>
        <a:srcRect/>
        <a:stretch>
          <a:fillRect/>
        </a:stretch>
      </xdr:blipFill>
      <xdr:spPr>
        <a:xfrm>
          <a:off x="11880" y="47520"/>
          <a:ext cx="2258640" cy="340200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414000" y="104760"/>
    <xdr:ext cx="2457360" cy="3402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0-0000-0000-00000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grayscl/>
        </a:blip>
        <a:srcRect/>
        <a:stretch>
          <a:fillRect/>
        </a:stretch>
      </xdr:blipFill>
      <xdr:spPr>
        <a:xfrm>
          <a:off x="414000" y="104760"/>
          <a:ext cx="2457360" cy="340200"/>
        </a:xfrm>
        <a:prstGeom prst="rect">
          <a:avLst/>
        </a:prstGeom>
        <a:noFill/>
        <a:ln cap="flat">
          <a:noFill/>
        </a:ln>
      </xdr:spPr>
    </xdr:pic>
    <xdr:clientData/>
  </xdr:absoluteAnchor>
  <xdr:oneCellAnchor>
    <xdr:from>
      <xdr:col>10</xdr:col>
      <xdr:colOff>115560</xdr:colOff>
      <xdr:row>0</xdr:row>
      <xdr:rowOff>66600</xdr:rowOff>
    </xdr:from>
    <xdr:ext cx="2143080" cy="399960"/>
    <xdr:pic>
      <xdr:nvPicPr>
        <xdr:cNvPr id="3" name="Imagem 3">
          <a:extLst>
            <a:ext uri="{FF2B5EF4-FFF2-40B4-BE49-F238E27FC236}">
              <a16:creationId xmlns:a16="http://schemas.microsoft.com/office/drawing/2014/main" id="{00000000-0000-0000-0000-00000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93160" y="66600"/>
          <a:ext cx="2143080" cy="399960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tabSelected="1" workbookViewId="0">
      <selection sqref="A1:Q1"/>
    </sheetView>
  </sheetViews>
  <sheetFormatPr defaultRowHeight="13.9" x14ac:dyDescent="0.25"/>
  <cols>
    <col min="1" max="1" width="78.85546875" customWidth="1"/>
    <col min="2" max="2" width="30" customWidth="1"/>
    <col min="3" max="3" width="24.28515625" customWidth="1"/>
    <col min="4" max="4" width="4.5703125" customWidth="1"/>
    <col min="5" max="5" width="4.7109375" customWidth="1"/>
    <col min="6" max="6" width="5.42578125" customWidth="1"/>
    <col min="7" max="7" width="5" customWidth="1"/>
    <col min="8" max="8" width="5.42578125" customWidth="1"/>
    <col min="9" max="10" width="4.85546875" customWidth="1"/>
    <col min="11" max="11" width="5.28515625" customWidth="1"/>
    <col min="12" max="12" width="5" customWidth="1"/>
    <col min="13" max="13" width="5.140625" customWidth="1"/>
    <col min="14" max="14" width="5.42578125" customWidth="1"/>
    <col min="15" max="15" width="4.85546875" customWidth="1"/>
    <col min="16" max="16" width="7" customWidth="1"/>
    <col min="17" max="17" width="13" style="36" customWidth="1"/>
    <col min="18" max="1023" width="9.42578125" customWidth="1"/>
    <col min="1024" max="1024" width="9.140625" customWidth="1"/>
  </cols>
  <sheetData>
    <row r="1" spans="1:17" ht="35.450000000000003" customHeight="1" thickBot="1" x14ac:dyDescent="0.3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18.75" customHeight="1" thickBot="1" x14ac:dyDescent="0.3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 ht="15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ht="36.4" customHeight="1" x14ac:dyDescent="0.25">
      <c r="A4" s="1" t="s">
        <v>1</v>
      </c>
      <c r="B4" s="2" t="s">
        <v>2</v>
      </c>
      <c r="C4" s="3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</row>
    <row r="5" spans="1:17" ht="15" x14ac:dyDescent="0.25">
      <c r="A5" s="5" t="s">
        <v>18</v>
      </c>
      <c r="B5" s="6" t="s">
        <v>19</v>
      </c>
      <c r="C5" s="7">
        <v>356.81</v>
      </c>
      <c r="D5" s="6">
        <v>53</v>
      </c>
      <c r="E5" s="6">
        <v>27</v>
      </c>
      <c r="F5" s="6">
        <v>34</v>
      </c>
      <c r="G5" s="6">
        <v>44</v>
      </c>
      <c r="H5" s="6">
        <v>40</v>
      </c>
      <c r="I5" s="6">
        <v>50</v>
      </c>
      <c r="J5" s="6">
        <v>43</v>
      </c>
      <c r="K5" s="6">
        <v>41</v>
      </c>
      <c r="L5" s="6">
        <v>55</v>
      </c>
      <c r="M5" s="6">
        <v>45</v>
      </c>
      <c r="N5" s="6">
        <v>40</v>
      </c>
      <c r="O5" s="6">
        <v>40</v>
      </c>
      <c r="P5" s="6">
        <f>SUM(D5:O5)</f>
        <v>512</v>
      </c>
      <c r="Q5" s="6">
        <f t="shared" ref="Q5:Q13" si="0">AVERAGE(D5:O5)</f>
        <v>42.666666666666664</v>
      </c>
    </row>
    <row r="6" spans="1:17" ht="15" x14ac:dyDescent="0.25">
      <c r="A6" s="5" t="s">
        <v>20</v>
      </c>
      <c r="B6" s="6" t="s">
        <v>21</v>
      </c>
      <c r="C6" s="5">
        <v>143.72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f>SUM(D6:O6)</f>
        <v>0</v>
      </c>
      <c r="Q6" s="6">
        <f t="shared" si="0"/>
        <v>0</v>
      </c>
    </row>
    <row r="7" spans="1:17" ht="15" x14ac:dyDescent="0.25">
      <c r="A7" s="5" t="s">
        <v>22</v>
      </c>
      <c r="B7" s="6" t="s">
        <v>23</v>
      </c>
      <c r="C7" s="5">
        <v>143.72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f>SUM(D7:O7)</f>
        <v>0</v>
      </c>
      <c r="Q7" s="6">
        <f t="shared" si="0"/>
        <v>0</v>
      </c>
    </row>
    <row r="8" spans="1:17" ht="15" x14ac:dyDescent="0.25">
      <c r="A8" s="5" t="s">
        <v>24</v>
      </c>
      <c r="B8" s="6" t="s">
        <v>25</v>
      </c>
      <c r="C8" s="5">
        <v>559.87</v>
      </c>
      <c r="D8" s="6">
        <v>1</v>
      </c>
      <c r="E8" s="6">
        <v>1</v>
      </c>
      <c r="F8" s="6">
        <v>2</v>
      </c>
      <c r="G8" s="6">
        <v>1</v>
      </c>
      <c r="H8" s="6">
        <v>0</v>
      </c>
      <c r="I8" s="6">
        <v>3</v>
      </c>
      <c r="J8" s="6">
        <v>1</v>
      </c>
      <c r="K8" s="6">
        <v>0</v>
      </c>
      <c r="L8" s="6">
        <v>1</v>
      </c>
      <c r="M8" s="6">
        <v>1</v>
      </c>
      <c r="N8" s="6">
        <v>3</v>
      </c>
      <c r="O8" s="6">
        <v>2</v>
      </c>
      <c r="P8" s="6">
        <v>0</v>
      </c>
      <c r="Q8" s="6">
        <f t="shared" si="0"/>
        <v>1.3333333333333333</v>
      </c>
    </row>
    <row r="9" spans="1:17" ht="15" x14ac:dyDescent="0.25">
      <c r="A9" s="5" t="s">
        <v>26</v>
      </c>
      <c r="B9" s="6" t="s">
        <v>27</v>
      </c>
      <c r="C9" s="5">
        <v>539.91999999999996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f>SUM(D9:O9)</f>
        <v>0</v>
      </c>
      <c r="Q9" s="6">
        <f t="shared" si="0"/>
        <v>0</v>
      </c>
    </row>
    <row r="10" spans="1:17" ht="15" x14ac:dyDescent="0.25">
      <c r="A10" s="5" t="s">
        <v>28</v>
      </c>
      <c r="B10" s="6" t="s">
        <v>29</v>
      </c>
      <c r="C10" s="5">
        <v>445.51</v>
      </c>
      <c r="D10" s="6">
        <v>2</v>
      </c>
      <c r="E10" s="6">
        <v>0</v>
      </c>
      <c r="F10" s="6">
        <v>0</v>
      </c>
      <c r="G10" s="6">
        <v>1</v>
      </c>
      <c r="H10" s="6">
        <v>3</v>
      </c>
      <c r="I10" s="6">
        <v>2</v>
      </c>
      <c r="J10" s="6">
        <v>4</v>
      </c>
      <c r="K10" s="6">
        <v>3</v>
      </c>
      <c r="L10" s="6">
        <v>0</v>
      </c>
      <c r="M10" s="6">
        <v>0</v>
      </c>
      <c r="N10" s="6">
        <v>1</v>
      </c>
      <c r="O10" s="6">
        <v>3</v>
      </c>
      <c r="P10" s="6">
        <f>SUM(D10:O10)</f>
        <v>19</v>
      </c>
      <c r="Q10" s="6">
        <f t="shared" si="0"/>
        <v>1.5833333333333333</v>
      </c>
    </row>
    <row r="11" spans="1:17" ht="15" x14ac:dyDescent="0.25">
      <c r="A11" s="5" t="s">
        <v>30</v>
      </c>
      <c r="B11" s="6" t="s">
        <v>31</v>
      </c>
      <c r="C11" s="8">
        <v>416.43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f>SUM(D11:O11)</f>
        <v>0</v>
      </c>
      <c r="Q11" s="6">
        <f t="shared" si="0"/>
        <v>0</v>
      </c>
    </row>
    <row r="12" spans="1:17" ht="15" x14ac:dyDescent="0.25">
      <c r="A12" s="5" t="s">
        <v>32</v>
      </c>
      <c r="B12" s="6" t="s">
        <v>33</v>
      </c>
      <c r="C12" s="5">
        <v>434.99</v>
      </c>
      <c r="D12" s="6">
        <v>12</v>
      </c>
      <c r="E12" s="6">
        <v>5</v>
      </c>
      <c r="F12" s="6">
        <v>11</v>
      </c>
      <c r="G12" s="6">
        <v>14</v>
      </c>
      <c r="H12" s="6">
        <v>12</v>
      </c>
      <c r="I12" s="6">
        <v>7</v>
      </c>
      <c r="J12" s="6">
        <v>7</v>
      </c>
      <c r="K12" s="6">
        <v>14</v>
      </c>
      <c r="L12" s="6">
        <v>9</v>
      </c>
      <c r="M12" s="6">
        <v>7</v>
      </c>
      <c r="N12" s="6">
        <v>7</v>
      </c>
      <c r="O12" s="6">
        <v>5</v>
      </c>
      <c r="P12" s="6">
        <f>SUM(D12:O12)</f>
        <v>110</v>
      </c>
      <c r="Q12" s="6">
        <f t="shared" si="0"/>
        <v>9.1666666666666661</v>
      </c>
    </row>
    <row r="13" spans="1:17" ht="15.75" thickBot="1" x14ac:dyDescent="0.3">
      <c r="A13" s="9" t="s">
        <v>34</v>
      </c>
      <c r="B13" s="9"/>
      <c r="C13" s="9"/>
      <c r="D13" s="9">
        <f t="shared" ref="D13:O13" si="1">SUM(D5:D12)</f>
        <v>68</v>
      </c>
      <c r="E13" s="9">
        <f t="shared" si="1"/>
        <v>33</v>
      </c>
      <c r="F13" s="9">
        <f t="shared" si="1"/>
        <v>47</v>
      </c>
      <c r="G13" s="9">
        <f t="shared" si="1"/>
        <v>60</v>
      </c>
      <c r="H13" s="9">
        <f t="shared" si="1"/>
        <v>55</v>
      </c>
      <c r="I13" s="9">
        <f t="shared" si="1"/>
        <v>62</v>
      </c>
      <c r="J13" s="9">
        <f t="shared" si="1"/>
        <v>55</v>
      </c>
      <c r="K13" s="9">
        <f t="shared" si="1"/>
        <v>58</v>
      </c>
      <c r="L13" s="9">
        <f t="shared" si="1"/>
        <v>65</v>
      </c>
      <c r="M13" s="9">
        <f t="shared" si="1"/>
        <v>53</v>
      </c>
      <c r="N13" s="9">
        <f t="shared" si="1"/>
        <v>51</v>
      </c>
      <c r="O13" s="9">
        <f t="shared" si="1"/>
        <v>50</v>
      </c>
      <c r="P13" s="9">
        <f>SUM(D13:O13)</f>
        <v>657</v>
      </c>
      <c r="Q13" s="9">
        <f t="shared" si="0"/>
        <v>54.75</v>
      </c>
    </row>
    <row r="14" spans="1:17" ht="15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</row>
    <row r="15" spans="1:17" ht="45" x14ac:dyDescent="0.25">
      <c r="A15" s="1" t="s">
        <v>35</v>
      </c>
      <c r="B15" s="1" t="s">
        <v>2</v>
      </c>
      <c r="C15" s="10" t="s">
        <v>3</v>
      </c>
      <c r="D15" s="11" t="s">
        <v>4</v>
      </c>
      <c r="E15" s="11" t="s">
        <v>5</v>
      </c>
      <c r="F15" s="11" t="s">
        <v>6</v>
      </c>
      <c r="G15" s="11" t="s">
        <v>7</v>
      </c>
      <c r="H15" s="11" t="s">
        <v>8</v>
      </c>
      <c r="I15" s="11" t="s">
        <v>9</v>
      </c>
      <c r="J15" s="11" t="s">
        <v>10</v>
      </c>
      <c r="K15" s="11" t="s">
        <v>11</v>
      </c>
      <c r="L15" s="11" t="s">
        <v>12</v>
      </c>
      <c r="M15" s="11" t="s">
        <v>13</v>
      </c>
      <c r="N15" s="11" t="s">
        <v>14</v>
      </c>
      <c r="O15" s="11" t="s">
        <v>15</v>
      </c>
      <c r="P15" s="11" t="s">
        <v>16</v>
      </c>
      <c r="Q15" s="11" t="s">
        <v>17</v>
      </c>
    </row>
    <row r="16" spans="1:17" ht="15" x14ac:dyDescent="0.25">
      <c r="A16" s="12" t="s">
        <v>36</v>
      </c>
      <c r="B16" s="13" t="s">
        <v>37</v>
      </c>
      <c r="C16" s="14">
        <v>23.73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17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9</v>
      </c>
      <c r="P16" s="13">
        <f>SUM(D16:O16)</f>
        <v>26</v>
      </c>
      <c r="Q16" s="13">
        <f>AVERAGE(D16:O16)</f>
        <v>2.1666666666666665</v>
      </c>
    </row>
    <row r="17" spans="1:17" ht="15" x14ac:dyDescent="0.25">
      <c r="A17" s="9" t="s">
        <v>38</v>
      </c>
      <c r="B17" s="9"/>
      <c r="C17" s="9"/>
      <c r="D17" s="9">
        <f t="shared" ref="D17:O17" si="2">D16</f>
        <v>0</v>
      </c>
      <c r="E17" s="9">
        <f t="shared" si="2"/>
        <v>0</v>
      </c>
      <c r="F17" s="9">
        <f t="shared" si="2"/>
        <v>0</v>
      </c>
      <c r="G17" s="9">
        <f t="shared" si="2"/>
        <v>0</v>
      </c>
      <c r="H17" s="9">
        <f t="shared" si="2"/>
        <v>0</v>
      </c>
      <c r="I17" s="9">
        <f t="shared" si="2"/>
        <v>17</v>
      </c>
      <c r="J17" s="9">
        <f t="shared" si="2"/>
        <v>0</v>
      </c>
      <c r="K17" s="9">
        <f t="shared" si="2"/>
        <v>0</v>
      </c>
      <c r="L17" s="9">
        <f t="shared" si="2"/>
        <v>0</v>
      </c>
      <c r="M17" s="9">
        <f t="shared" si="2"/>
        <v>0</v>
      </c>
      <c r="N17" s="9">
        <f t="shared" si="2"/>
        <v>0</v>
      </c>
      <c r="O17" s="9">
        <f t="shared" si="2"/>
        <v>9</v>
      </c>
      <c r="P17" s="9">
        <f>SUM(D17:O17)</f>
        <v>26</v>
      </c>
      <c r="Q17" s="9">
        <f>AVERAGE(D17:O17)</f>
        <v>2.1666666666666665</v>
      </c>
    </row>
    <row r="18" spans="1:17" ht="15" x14ac:dyDescent="0.25">
      <c r="A18" s="15"/>
      <c r="B18" s="15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15"/>
    </row>
    <row r="19" spans="1:17" ht="36.6" customHeight="1" x14ac:dyDescent="0.25">
      <c r="A19" s="1" t="s">
        <v>39</v>
      </c>
      <c r="B19" s="1" t="s">
        <v>2</v>
      </c>
      <c r="C19" s="16" t="s">
        <v>3</v>
      </c>
      <c r="D19" s="11" t="s">
        <v>4</v>
      </c>
      <c r="E19" s="11" t="s">
        <v>5</v>
      </c>
      <c r="F19" s="11" t="s">
        <v>6</v>
      </c>
      <c r="G19" s="11" t="s">
        <v>7</v>
      </c>
      <c r="H19" s="11" t="s">
        <v>8</v>
      </c>
      <c r="I19" s="11" t="s">
        <v>9</v>
      </c>
      <c r="J19" s="11" t="s">
        <v>10</v>
      </c>
      <c r="K19" s="11" t="s">
        <v>11</v>
      </c>
      <c r="L19" s="11" t="s">
        <v>12</v>
      </c>
      <c r="M19" s="11" t="s">
        <v>13</v>
      </c>
      <c r="N19" s="11" t="s">
        <v>14</v>
      </c>
      <c r="O19" s="11" t="s">
        <v>15</v>
      </c>
      <c r="P19" s="11" t="s">
        <v>16</v>
      </c>
      <c r="Q19" s="11" t="s">
        <v>17</v>
      </c>
    </row>
    <row r="20" spans="1:17" ht="15" x14ac:dyDescent="0.25">
      <c r="A20" s="17" t="s">
        <v>40</v>
      </c>
      <c r="B20" s="18" t="s">
        <v>41</v>
      </c>
      <c r="C20" s="17">
        <v>95.42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3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f t="shared" ref="P20:P26" si="3">SUM(D20:O20)</f>
        <v>3</v>
      </c>
      <c r="Q20" s="13">
        <f>AVERAGE(C20:O20)</f>
        <v>7.5707692307692307</v>
      </c>
    </row>
    <row r="21" spans="1:17" ht="15" x14ac:dyDescent="0.25">
      <c r="A21" s="17" t="s">
        <v>42</v>
      </c>
      <c r="B21" s="18" t="s">
        <v>43</v>
      </c>
      <c r="C21" s="17">
        <v>78.75</v>
      </c>
      <c r="D21" s="6">
        <v>41</v>
      </c>
      <c r="E21" s="6">
        <v>31</v>
      </c>
      <c r="F21" s="6">
        <v>35</v>
      </c>
      <c r="G21" s="6">
        <v>30</v>
      </c>
      <c r="H21" s="6">
        <v>42</v>
      </c>
      <c r="I21" s="6">
        <v>43</v>
      </c>
      <c r="J21" s="6">
        <v>55</v>
      </c>
      <c r="K21" s="6">
        <v>33</v>
      </c>
      <c r="L21" s="6">
        <v>63</v>
      </c>
      <c r="M21" s="6">
        <v>31</v>
      </c>
      <c r="N21" s="6">
        <v>35</v>
      </c>
      <c r="O21" s="6">
        <v>28</v>
      </c>
      <c r="P21" s="6">
        <f t="shared" si="3"/>
        <v>467</v>
      </c>
      <c r="Q21" s="13">
        <f>AVERAGE(C21:O21)</f>
        <v>41.980769230769234</v>
      </c>
    </row>
    <row r="22" spans="1:17" ht="26.85" customHeight="1" x14ac:dyDescent="0.25">
      <c r="A22" s="19" t="s">
        <v>44</v>
      </c>
      <c r="B22" s="18" t="s">
        <v>45</v>
      </c>
      <c r="C22" s="20" t="s">
        <v>46</v>
      </c>
      <c r="D22" s="6">
        <v>104</v>
      </c>
      <c r="E22" s="6">
        <v>84</v>
      </c>
      <c r="F22" s="6">
        <v>78</v>
      </c>
      <c r="G22" s="6">
        <v>80</v>
      </c>
      <c r="H22" s="6">
        <v>81</v>
      </c>
      <c r="I22" s="6">
        <v>103</v>
      </c>
      <c r="J22" s="6">
        <v>137</v>
      </c>
      <c r="K22" s="6">
        <v>101</v>
      </c>
      <c r="L22" s="6">
        <v>4</v>
      </c>
      <c r="M22" s="6">
        <v>83</v>
      </c>
      <c r="N22" s="6">
        <v>95</v>
      </c>
      <c r="O22" s="6">
        <v>88</v>
      </c>
      <c r="P22" s="6">
        <f t="shared" si="3"/>
        <v>1038</v>
      </c>
      <c r="Q22" s="13">
        <f>AVERAGE(D22:O22)</f>
        <v>86.5</v>
      </c>
    </row>
    <row r="23" spans="1:17" ht="15" x14ac:dyDescent="0.25">
      <c r="A23" s="17" t="s">
        <v>47</v>
      </c>
      <c r="B23" s="18" t="s">
        <v>48</v>
      </c>
      <c r="C23" s="17">
        <v>203.64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4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f t="shared" si="3"/>
        <v>4</v>
      </c>
      <c r="Q23" s="13">
        <f>AVERAGE(D23:O23)</f>
        <v>0.33333333333333331</v>
      </c>
    </row>
    <row r="24" spans="1:17" ht="15" x14ac:dyDescent="0.25">
      <c r="A24" s="17" t="s">
        <v>49</v>
      </c>
      <c r="B24" s="6" t="s">
        <v>50</v>
      </c>
      <c r="C24" s="17">
        <v>815.52</v>
      </c>
      <c r="D24" s="6">
        <v>4</v>
      </c>
      <c r="E24" s="6">
        <v>2</v>
      </c>
      <c r="F24" s="6">
        <v>2</v>
      </c>
      <c r="G24" s="6">
        <v>2</v>
      </c>
      <c r="H24" s="6">
        <v>1</v>
      </c>
      <c r="I24" s="6">
        <v>4</v>
      </c>
      <c r="J24" s="6">
        <v>1</v>
      </c>
      <c r="K24" s="6">
        <v>2</v>
      </c>
      <c r="L24" s="6">
        <v>1</v>
      </c>
      <c r="M24" s="6">
        <v>0</v>
      </c>
      <c r="N24" s="6">
        <v>2</v>
      </c>
      <c r="O24" s="6">
        <v>2</v>
      </c>
      <c r="P24" s="6">
        <f t="shared" si="3"/>
        <v>23</v>
      </c>
      <c r="Q24" s="13">
        <f>AVERAGE(D24:O24)</f>
        <v>1.9166666666666667</v>
      </c>
    </row>
    <row r="25" spans="1:17" ht="15" x14ac:dyDescent="0.25">
      <c r="A25" s="17" t="s">
        <v>51</v>
      </c>
      <c r="B25" s="6" t="s">
        <v>52</v>
      </c>
      <c r="C25" s="20" t="s">
        <v>53</v>
      </c>
      <c r="D25" s="6">
        <v>1</v>
      </c>
      <c r="E25" s="6">
        <v>0</v>
      </c>
      <c r="F25" s="6">
        <v>1</v>
      </c>
      <c r="G25" s="6">
        <v>4</v>
      </c>
      <c r="H25" s="6">
        <v>1</v>
      </c>
      <c r="I25" s="6">
        <v>0</v>
      </c>
      <c r="J25" s="6">
        <v>7</v>
      </c>
      <c r="K25" s="6">
        <v>2</v>
      </c>
      <c r="L25" s="6">
        <v>3</v>
      </c>
      <c r="M25" s="6">
        <v>1</v>
      </c>
      <c r="N25" s="6">
        <v>2</v>
      </c>
      <c r="O25" s="6">
        <v>1</v>
      </c>
      <c r="P25" s="6">
        <f t="shared" si="3"/>
        <v>23</v>
      </c>
      <c r="Q25" s="13">
        <f>AVERAGE(D25:O25)</f>
        <v>1.9166666666666667</v>
      </c>
    </row>
    <row r="26" spans="1:17" ht="15.75" thickBot="1" x14ac:dyDescent="0.3">
      <c r="A26" s="9" t="s">
        <v>54</v>
      </c>
      <c r="B26" s="9"/>
      <c r="C26" s="9"/>
      <c r="D26" s="9">
        <f t="shared" ref="D26:O26" si="4">SUM(D20:D25)</f>
        <v>150</v>
      </c>
      <c r="E26" s="9">
        <f t="shared" si="4"/>
        <v>117</v>
      </c>
      <c r="F26" s="9">
        <f t="shared" si="4"/>
        <v>116</v>
      </c>
      <c r="G26" s="9">
        <f t="shared" si="4"/>
        <v>116</v>
      </c>
      <c r="H26" s="9">
        <f t="shared" si="4"/>
        <v>125</v>
      </c>
      <c r="I26" s="9">
        <f t="shared" si="4"/>
        <v>150</v>
      </c>
      <c r="J26" s="9">
        <f t="shared" si="4"/>
        <v>207</v>
      </c>
      <c r="K26" s="9">
        <f t="shared" si="4"/>
        <v>138</v>
      </c>
      <c r="L26" s="9">
        <f t="shared" si="4"/>
        <v>71</v>
      </c>
      <c r="M26" s="9">
        <f t="shared" si="4"/>
        <v>115</v>
      </c>
      <c r="N26" s="9">
        <f t="shared" si="4"/>
        <v>134</v>
      </c>
      <c r="O26" s="9">
        <f t="shared" si="4"/>
        <v>119</v>
      </c>
      <c r="P26" s="9">
        <f t="shared" si="3"/>
        <v>1558</v>
      </c>
      <c r="Q26" s="9">
        <f>AVERAGE(D26:O26)</f>
        <v>129.83333333333334</v>
      </c>
    </row>
    <row r="27" spans="1:17" ht="15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</row>
    <row r="28" spans="1:17" ht="45" x14ac:dyDescent="0.25">
      <c r="A28" s="1" t="s">
        <v>55</v>
      </c>
      <c r="B28" s="1" t="s">
        <v>56</v>
      </c>
      <c r="C28" s="10" t="s">
        <v>57</v>
      </c>
      <c r="D28" s="11" t="s">
        <v>4</v>
      </c>
      <c r="E28" s="11" t="s">
        <v>5</v>
      </c>
      <c r="F28" s="11" t="s">
        <v>6</v>
      </c>
      <c r="G28" s="11" t="s">
        <v>7</v>
      </c>
      <c r="H28" s="11" t="s">
        <v>8</v>
      </c>
      <c r="I28" s="11" t="s">
        <v>9</v>
      </c>
      <c r="J28" s="11" t="s">
        <v>10</v>
      </c>
      <c r="K28" s="11" t="s">
        <v>11</v>
      </c>
      <c r="L28" s="11" t="s">
        <v>12</v>
      </c>
      <c r="M28" s="11" t="s">
        <v>13</v>
      </c>
      <c r="N28" s="11" t="s">
        <v>14</v>
      </c>
      <c r="O28" s="11" t="s">
        <v>15</v>
      </c>
      <c r="P28" s="11" t="s">
        <v>16</v>
      </c>
      <c r="Q28" s="11" t="s">
        <v>17</v>
      </c>
    </row>
    <row r="29" spans="1:17" ht="15" x14ac:dyDescent="0.25">
      <c r="A29" s="17" t="s">
        <v>58</v>
      </c>
      <c r="B29" s="6" t="s">
        <v>59</v>
      </c>
      <c r="C29" s="17">
        <v>241.15</v>
      </c>
      <c r="D29" s="21">
        <v>0</v>
      </c>
      <c r="E29" s="6">
        <v>3</v>
      </c>
      <c r="F29" s="6">
        <v>5</v>
      </c>
      <c r="G29" s="6">
        <v>0</v>
      </c>
      <c r="H29" s="6">
        <v>3</v>
      </c>
      <c r="I29" s="6">
        <v>3</v>
      </c>
      <c r="J29" s="6">
        <v>1</v>
      </c>
      <c r="K29" s="6">
        <v>0</v>
      </c>
      <c r="L29" s="6">
        <v>1</v>
      </c>
      <c r="M29" s="6">
        <v>2</v>
      </c>
      <c r="N29" s="6">
        <v>1</v>
      </c>
      <c r="O29" s="6">
        <v>0</v>
      </c>
      <c r="P29" s="6">
        <f>SUM(D29:O29)</f>
        <v>19</v>
      </c>
      <c r="Q29" s="13">
        <f>AVERAGE(D29:O29)</f>
        <v>1.5833333333333333</v>
      </c>
    </row>
    <row r="30" spans="1:17" ht="29.25" customHeight="1" x14ac:dyDescent="0.25">
      <c r="A30" s="19" t="s">
        <v>60</v>
      </c>
      <c r="B30" s="6" t="s">
        <v>61</v>
      </c>
      <c r="C30" s="17">
        <v>347.62</v>
      </c>
      <c r="D30" s="6">
        <v>0</v>
      </c>
      <c r="E30" s="6">
        <v>1</v>
      </c>
      <c r="F30" s="6">
        <v>1</v>
      </c>
      <c r="G30" s="6">
        <v>4</v>
      </c>
      <c r="H30" s="6">
        <v>0</v>
      </c>
      <c r="I30" s="6">
        <v>0</v>
      </c>
      <c r="J30" s="6">
        <v>0</v>
      </c>
      <c r="K30" s="6">
        <v>1</v>
      </c>
      <c r="L30" s="6">
        <v>2</v>
      </c>
      <c r="M30" s="6">
        <v>3</v>
      </c>
      <c r="N30" s="6">
        <v>1</v>
      </c>
      <c r="O30" s="6">
        <v>3</v>
      </c>
      <c r="P30" s="6">
        <f>SUM(D30:O30)</f>
        <v>16</v>
      </c>
      <c r="Q30" s="13">
        <f>AVERAGE(D30:O30)</f>
        <v>1.3333333333333333</v>
      </c>
    </row>
    <row r="31" spans="1:17" ht="15.75" thickBot="1" x14ac:dyDescent="0.3">
      <c r="A31" s="9" t="s">
        <v>62</v>
      </c>
      <c r="B31" s="9"/>
      <c r="C31" s="9"/>
      <c r="D31" s="9">
        <f t="shared" ref="D31:O31" si="5">SUM(D29:D30)</f>
        <v>0</v>
      </c>
      <c r="E31" s="9">
        <f t="shared" si="5"/>
        <v>4</v>
      </c>
      <c r="F31" s="9">
        <f t="shared" si="5"/>
        <v>6</v>
      </c>
      <c r="G31" s="9">
        <f t="shared" si="5"/>
        <v>4</v>
      </c>
      <c r="H31" s="9">
        <f t="shared" si="5"/>
        <v>3</v>
      </c>
      <c r="I31" s="9">
        <f t="shared" si="5"/>
        <v>3</v>
      </c>
      <c r="J31" s="9">
        <f t="shared" si="5"/>
        <v>1</v>
      </c>
      <c r="K31" s="9">
        <f t="shared" si="5"/>
        <v>1</v>
      </c>
      <c r="L31" s="9">
        <f t="shared" si="5"/>
        <v>3</v>
      </c>
      <c r="M31" s="9">
        <f t="shared" si="5"/>
        <v>5</v>
      </c>
      <c r="N31" s="9">
        <f t="shared" si="5"/>
        <v>2</v>
      </c>
      <c r="O31" s="9">
        <f t="shared" si="5"/>
        <v>3</v>
      </c>
      <c r="P31" s="9">
        <f>SUM(D31:O31)</f>
        <v>35</v>
      </c>
      <c r="Q31" s="9">
        <f>AVERAGE(D31:O31)</f>
        <v>2.9166666666666665</v>
      </c>
    </row>
    <row r="32" spans="1:17" ht="15" x14ac:dyDescent="0.25">
      <c r="A32" s="44" t="s">
        <v>63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</row>
    <row r="33" spans="1:17" ht="45" x14ac:dyDescent="0.25">
      <c r="A33" s="22" t="s">
        <v>64</v>
      </c>
      <c r="B33" s="1" t="s">
        <v>56</v>
      </c>
      <c r="C33" s="10" t="s">
        <v>57</v>
      </c>
      <c r="D33" s="11" t="s">
        <v>4</v>
      </c>
      <c r="E33" s="11" t="s">
        <v>5</v>
      </c>
      <c r="F33" s="11" t="s">
        <v>6</v>
      </c>
      <c r="G33" s="11" t="s">
        <v>7</v>
      </c>
      <c r="H33" s="11" t="s">
        <v>8</v>
      </c>
      <c r="I33" s="11" t="s">
        <v>9</v>
      </c>
      <c r="J33" s="11" t="s">
        <v>10</v>
      </c>
      <c r="K33" s="11" t="s">
        <v>11</v>
      </c>
      <c r="L33" s="11" t="s">
        <v>12</v>
      </c>
      <c r="M33" s="11" t="s">
        <v>13</v>
      </c>
      <c r="N33" s="11" t="s">
        <v>14</v>
      </c>
      <c r="O33" s="11" t="s">
        <v>15</v>
      </c>
      <c r="P33" s="11" t="s">
        <v>16</v>
      </c>
      <c r="Q33" s="11" t="s">
        <v>17</v>
      </c>
    </row>
    <row r="34" spans="1:17" ht="15" x14ac:dyDescent="0.25">
      <c r="A34" s="17" t="s">
        <v>65</v>
      </c>
      <c r="B34" s="6" t="s">
        <v>66</v>
      </c>
      <c r="C34" s="17">
        <v>92.38</v>
      </c>
      <c r="D34" s="6">
        <v>14</v>
      </c>
      <c r="E34" s="6">
        <v>19</v>
      </c>
      <c r="F34" s="6">
        <v>15</v>
      </c>
      <c r="G34" s="6">
        <v>22</v>
      </c>
      <c r="H34" s="6">
        <v>20</v>
      </c>
      <c r="I34" s="6">
        <v>19</v>
      </c>
      <c r="J34" s="6">
        <v>20</v>
      </c>
      <c r="K34" s="6">
        <v>19</v>
      </c>
      <c r="L34" s="6">
        <v>17</v>
      </c>
      <c r="M34" s="6">
        <v>17</v>
      </c>
      <c r="N34" s="6">
        <v>24</v>
      </c>
      <c r="O34" s="6">
        <v>18</v>
      </c>
      <c r="P34" s="6">
        <f t="shared" ref="P34:P43" si="6">SUM(D34:O34)</f>
        <v>224</v>
      </c>
      <c r="Q34" s="6">
        <f t="shared" ref="Q34:Q43" si="7">AVERAGE(D34:O34)</f>
        <v>18.666666666666668</v>
      </c>
    </row>
    <row r="35" spans="1:17" ht="15" x14ac:dyDescent="0.25">
      <c r="A35" s="17" t="s">
        <v>67</v>
      </c>
      <c r="B35" s="6" t="s">
        <v>68</v>
      </c>
      <c r="C35" s="17">
        <v>319.92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f t="shared" si="6"/>
        <v>0</v>
      </c>
      <c r="Q35" s="6">
        <f t="shared" si="7"/>
        <v>0</v>
      </c>
    </row>
    <row r="36" spans="1:17" ht="15" x14ac:dyDescent="0.25">
      <c r="A36" s="17" t="s">
        <v>69</v>
      </c>
      <c r="B36" s="6" t="s">
        <v>23</v>
      </c>
      <c r="C36" s="17">
        <v>143.72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f t="shared" si="6"/>
        <v>0</v>
      </c>
      <c r="Q36" s="6">
        <f t="shared" si="7"/>
        <v>0</v>
      </c>
    </row>
    <row r="37" spans="1:17" ht="15" x14ac:dyDescent="0.25">
      <c r="A37" s="17" t="s">
        <v>70</v>
      </c>
      <c r="B37" s="18" t="s">
        <v>71</v>
      </c>
      <c r="C37" s="17">
        <v>0</v>
      </c>
      <c r="D37" s="6">
        <v>2</v>
      </c>
      <c r="E37" s="6">
        <v>0</v>
      </c>
      <c r="F37" s="6">
        <v>1</v>
      </c>
      <c r="G37" s="6">
        <v>0</v>
      </c>
      <c r="H37" s="6">
        <v>0</v>
      </c>
      <c r="I37" s="6">
        <v>0</v>
      </c>
      <c r="J37" s="6">
        <v>2</v>
      </c>
      <c r="K37" s="6">
        <v>1</v>
      </c>
      <c r="L37" s="6">
        <v>1</v>
      </c>
      <c r="M37" s="6">
        <v>2</v>
      </c>
      <c r="N37" s="6">
        <v>2</v>
      </c>
      <c r="O37" s="6">
        <v>1</v>
      </c>
      <c r="P37" s="6">
        <f t="shared" si="6"/>
        <v>12</v>
      </c>
      <c r="Q37" s="6">
        <f t="shared" si="7"/>
        <v>1</v>
      </c>
    </row>
    <row r="38" spans="1:17" ht="15" x14ac:dyDescent="0.25">
      <c r="A38" s="17" t="s">
        <v>72</v>
      </c>
      <c r="B38" s="18" t="s">
        <v>73</v>
      </c>
      <c r="C38" s="17">
        <v>360.07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f t="shared" si="6"/>
        <v>0</v>
      </c>
      <c r="Q38" s="6">
        <f t="shared" si="7"/>
        <v>0</v>
      </c>
    </row>
    <row r="39" spans="1:17" ht="15" x14ac:dyDescent="0.25">
      <c r="A39" s="17" t="s">
        <v>74</v>
      </c>
      <c r="B39" s="18" t="s">
        <v>75</v>
      </c>
      <c r="C39" s="17">
        <v>433.62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f t="shared" si="6"/>
        <v>0</v>
      </c>
      <c r="Q39" s="6">
        <f t="shared" si="7"/>
        <v>0</v>
      </c>
    </row>
    <row r="40" spans="1:17" ht="15" x14ac:dyDescent="0.25">
      <c r="A40" s="17" t="s">
        <v>76</v>
      </c>
      <c r="B40" s="6" t="s">
        <v>77</v>
      </c>
      <c r="C40" s="17">
        <v>219.12</v>
      </c>
      <c r="D40" s="6">
        <v>3</v>
      </c>
      <c r="E40" s="6">
        <v>4</v>
      </c>
      <c r="F40" s="6">
        <v>3</v>
      </c>
      <c r="G40" s="6">
        <v>0</v>
      </c>
      <c r="H40" s="6">
        <v>4</v>
      </c>
      <c r="I40" s="6">
        <v>6</v>
      </c>
      <c r="J40" s="6">
        <v>2</v>
      </c>
      <c r="K40" s="6">
        <v>6</v>
      </c>
      <c r="L40" s="6">
        <v>5</v>
      </c>
      <c r="M40" s="6">
        <v>2</v>
      </c>
      <c r="N40" s="6">
        <v>4</v>
      </c>
      <c r="O40" s="6">
        <v>5</v>
      </c>
      <c r="P40" s="6">
        <f t="shared" si="6"/>
        <v>44</v>
      </c>
      <c r="Q40" s="6">
        <f t="shared" si="7"/>
        <v>3.6666666666666665</v>
      </c>
    </row>
    <row r="41" spans="1:17" ht="15" x14ac:dyDescent="0.25">
      <c r="A41" s="17" t="s">
        <v>78</v>
      </c>
      <c r="B41" s="6" t="s">
        <v>79</v>
      </c>
      <c r="C41" s="23">
        <v>18</v>
      </c>
      <c r="D41" s="6">
        <v>5</v>
      </c>
      <c r="E41" s="6">
        <v>8</v>
      </c>
      <c r="F41" s="6">
        <v>8</v>
      </c>
      <c r="G41" s="6">
        <v>9</v>
      </c>
      <c r="H41" s="6">
        <v>4</v>
      </c>
      <c r="I41" s="6">
        <v>9</v>
      </c>
      <c r="J41" s="6">
        <v>8</v>
      </c>
      <c r="K41" s="6">
        <v>7</v>
      </c>
      <c r="L41" s="6">
        <v>9</v>
      </c>
      <c r="M41" s="6">
        <v>10</v>
      </c>
      <c r="N41" s="6">
        <v>4</v>
      </c>
      <c r="O41" s="6">
        <v>4</v>
      </c>
      <c r="P41" s="6">
        <f t="shared" si="6"/>
        <v>85</v>
      </c>
      <c r="Q41" s="6">
        <f t="shared" si="7"/>
        <v>7.083333333333333</v>
      </c>
    </row>
    <row r="42" spans="1:17" ht="15" x14ac:dyDescent="0.25">
      <c r="A42" s="17" t="s">
        <v>80</v>
      </c>
      <c r="B42" s="6" t="s">
        <v>81</v>
      </c>
      <c r="C42" s="17">
        <v>306.47000000000003</v>
      </c>
      <c r="D42" s="6">
        <v>26</v>
      </c>
      <c r="E42" s="6">
        <v>11</v>
      </c>
      <c r="F42" s="6">
        <v>16</v>
      </c>
      <c r="G42" s="6">
        <v>19</v>
      </c>
      <c r="H42" s="6">
        <v>19</v>
      </c>
      <c r="I42" s="6">
        <v>19</v>
      </c>
      <c r="J42" s="6">
        <v>16</v>
      </c>
      <c r="K42" s="6">
        <v>17</v>
      </c>
      <c r="L42" s="6">
        <v>6</v>
      </c>
      <c r="M42" s="6">
        <v>15</v>
      </c>
      <c r="N42" s="6">
        <v>13</v>
      </c>
      <c r="O42" s="6">
        <v>15</v>
      </c>
      <c r="P42" s="6">
        <f t="shared" si="6"/>
        <v>192</v>
      </c>
      <c r="Q42" s="6">
        <f t="shared" si="7"/>
        <v>16</v>
      </c>
    </row>
    <row r="43" spans="1:17" ht="15.75" thickBot="1" x14ac:dyDescent="0.3">
      <c r="A43" s="9" t="s">
        <v>82</v>
      </c>
      <c r="B43" s="9"/>
      <c r="C43" s="9"/>
      <c r="D43" s="9">
        <f t="shared" ref="D43:O43" si="8">SUM(D34:D42)</f>
        <v>50</v>
      </c>
      <c r="E43" s="9">
        <f t="shared" si="8"/>
        <v>42</v>
      </c>
      <c r="F43" s="9">
        <f t="shared" si="8"/>
        <v>43</v>
      </c>
      <c r="G43" s="9">
        <f t="shared" si="8"/>
        <v>50</v>
      </c>
      <c r="H43" s="9">
        <f t="shared" si="8"/>
        <v>47</v>
      </c>
      <c r="I43" s="9">
        <f t="shared" si="8"/>
        <v>53</v>
      </c>
      <c r="J43" s="9">
        <f t="shared" si="8"/>
        <v>48</v>
      </c>
      <c r="K43" s="9">
        <f t="shared" si="8"/>
        <v>50</v>
      </c>
      <c r="L43" s="9">
        <f t="shared" si="8"/>
        <v>38</v>
      </c>
      <c r="M43" s="9">
        <f t="shared" si="8"/>
        <v>46</v>
      </c>
      <c r="N43" s="9">
        <f t="shared" si="8"/>
        <v>47</v>
      </c>
      <c r="O43" s="9">
        <f t="shared" si="8"/>
        <v>43</v>
      </c>
      <c r="P43" s="9">
        <f t="shared" si="6"/>
        <v>557</v>
      </c>
      <c r="Q43" s="9">
        <f t="shared" si="7"/>
        <v>46.416666666666664</v>
      </c>
    </row>
    <row r="44" spans="1:17" ht="15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</row>
    <row r="45" spans="1:17" ht="45" x14ac:dyDescent="0.25">
      <c r="A45" s="22" t="s">
        <v>83</v>
      </c>
      <c r="B45" s="1" t="s">
        <v>56</v>
      </c>
      <c r="C45" s="10" t="s">
        <v>57</v>
      </c>
      <c r="D45" s="11" t="s">
        <v>4</v>
      </c>
      <c r="E45" s="11" t="s">
        <v>5</v>
      </c>
      <c r="F45" s="11" t="s">
        <v>6</v>
      </c>
      <c r="G45" s="11" t="s">
        <v>7</v>
      </c>
      <c r="H45" s="11" t="s">
        <v>8</v>
      </c>
      <c r="I45" s="11" t="s">
        <v>9</v>
      </c>
      <c r="J45" s="11" t="s">
        <v>10</v>
      </c>
      <c r="K45" s="11" t="s">
        <v>11</v>
      </c>
      <c r="L45" s="11" t="s">
        <v>12</v>
      </c>
      <c r="M45" s="11" t="s">
        <v>13</v>
      </c>
      <c r="N45" s="11" t="s">
        <v>14</v>
      </c>
      <c r="O45" s="11" t="s">
        <v>15</v>
      </c>
      <c r="P45" s="11" t="s">
        <v>16</v>
      </c>
      <c r="Q45" s="11" t="s">
        <v>17</v>
      </c>
    </row>
    <row r="46" spans="1:17" ht="15" x14ac:dyDescent="0.25">
      <c r="A46" s="5" t="s">
        <v>84</v>
      </c>
      <c r="B46" s="6" t="s">
        <v>85</v>
      </c>
      <c r="C46" s="5">
        <v>483.37</v>
      </c>
      <c r="D46" s="6">
        <v>42</v>
      </c>
      <c r="E46" s="6">
        <v>38</v>
      </c>
      <c r="F46" s="6">
        <v>37</v>
      </c>
      <c r="G46" s="6">
        <v>40</v>
      </c>
      <c r="H46" s="6">
        <v>32</v>
      </c>
      <c r="I46" s="6">
        <v>32</v>
      </c>
      <c r="J46" s="6">
        <v>35</v>
      </c>
      <c r="K46" s="6">
        <v>29</v>
      </c>
      <c r="L46" s="6">
        <v>27</v>
      </c>
      <c r="M46" s="6">
        <v>40</v>
      </c>
      <c r="N46" s="6">
        <v>32</v>
      </c>
      <c r="O46" s="6">
        <v>25</v>
      </c>
      <c r="P46" s="13">
        <f>SUM(D46:O46)</f>
        <v>409</v>
      </c>
      <c r="Q46" s="13">
        <f>AVERAGE(D46:O46)</f>
        <v>34.083333333333336</v>
      </c>
    </row>
    <row r="47" spans="1:17" ht="15.75" thickBot="1" x14ac:dyDescent="0.3">
      <c r="A47" s="9" t="s">
        <v>86</v>
      </c>
      <c r="B47" s="9"/>
      <c r="C47" s="9"/>
      <c r="D47" s="9">
        <f t="shared" ref="D47:O47" si="9">D46</f>
        <v>42</v>
      </c>
      <c r="E47" s="9">
        <f t="shared" si="9"/>
        <v>38</v>
      </c>
      <c r="F47" s="9">
        <f t="shared" si="9"/>
        <v>37</v>
      </c>
      <c r="G47" s="9">
        <f t="shared" si="9"/>
        <v>40</v>
      </c>
      <c r="H47" s="9">
        <f t="shared" si="9"/>
        <v>32</v>
      </c>
      <c r="I47" s="9">
        <f t="shared" si="9"/>
        <v>32</v>
      </c>
      <c r="J47" s="9">
        <f t="shared" si="9"/>
        <v>35</v>
      </c>
      <c r="K47" s="9">
        <f t="shared" si="9"/>
        <v>29</v>
      </c>
      <c r="L47" s="9">
        <f t="shared" si="9"/>
        <v>27</v>
      </c>
      <c r="M47" s="9">
        <f t="shared" si="9"/>
        <v>40</v>
      </c>
      <c r="N47" s="9">
        <f t="shared" si="9"/>
        <v>32</v>
      </c>
      <c r="O47" s="9">
        <f t="shared" si="9"/>
        <v>25</v>
      </c>
      <c r="P47" s="9">
        <f>SUM(D47:O47)</f>
        <v>409</v>
      </c>
      <c r="Q47" s="9">
        <f>AVERAGE(D47:O47)</f>
        <v>34.083333333333336</v>
      </c>
    </row>
    <row r="48" spans="1:17" ht="15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</row>
    <row r="49" spans="1:17" ht="15" x14ac:dyDescent="0.25">
      <c r="A49" s="22" t="s">
        <v>87</v>
      </c>
      <c r="B49" s="22"/>
      <c r="C49" s="22"/>
      <c r="D49" s="11" t="s">
        <v>4</v>
      </c>
      <c r="E49" s="11" t="s">
        <v>5</v>
      </c>
      <c r="F49" s="11" t="s">
        <v>6</v>
      </c>
      <c r="G49" s="11" t="s">
        <v>7</v>
      </c>
      <c r="H49" s="11" t="s">
        <v>8</v>
      </c>
      <c r="I49" s="11" t="s">
        <v>9</v>
      </c>
      <c r="J49" s="11" t="s">
        <v>10</v>
      </c>
      <c r="K49" s="11" t="s">
        <v>11</v>
      </c>
      <c r="L49" s="11" t="s">
        <v>12</v>
      </c>
      <c r="M49" s="11" t="s">
        <v>13</v>
      </c>
      <c r="N49" s="11" t="s">
        <v>14</v>
      </c>
      <c r="O49" s="11" t="s">
        <v>15</v>
      </c>
      <c r="P49" s="11" t="s">
        <v>16</v>
      </c>
      <c r="Q49" s="11" t="s">
        <v>17</v>
      </c>
    </row>
    <row r="50" spans="1:17" ht="15" x14ac:dyDescent="0.25">
      <c r="A50" s="17" t="s">
        <v>40</v>
      </c>
      <c r="B50" s="6" t="s">
        <v>41</v>
      </c>
      <c r="C50" s="17">
        <v>95.42</v>
      </c>
      <c r="D50" s="6">
        <v>3</v>
      </c>
      <c r="E50" s="6">
        <v>2</v>
      </c>
      <c r="F50" s="6">
        <v>3</v>
      </c>
      <c r="G50" s="6">
        <v>3</v>
      </c>
      <c r="H50" s="6">
        <v>22</v>
      </c>
      <c r="I50" s="6">
        <v>1</v>
      </c>
      <c r="J50" s="6">
        <v>25</v>
      </c>
      <c r="K50" s="6">
        <v>0</v>
      </c>
      <c r="L50" s="6">
        <v>18</v>
      </c>
      <c r="M50" s="6">
        <v>12</v>
      </c>
      <c r="N50" s="6">
        <v>19</v>
      </c>
      <c r="O50" s="6">
        <v>11</v>
      </c>
      <c r="P50" s="6">
        <f t="shared" ref="P50:P58" si="10">SUM(D50:O50)</f>
        <v>119</v>
      </c>
      <c r="Q50" s="13">
        <f t="shared" ref="Q50:Q58" si="11">AVERAGE(D50:O50)</f>
        <v>9.9166666666666661</v>
      </c>
    </row>
    <row r="51" spans="1:17" ht="15" x14ac:dyDescent="0.25">
      <c r="A51" s="17" t="s">
        <v>88</v>
      </c>
      <c r="B51" s="18" t="s">
        <v>89</v>
      </c>
      <c r="C51" s="17">
        <v>203.74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f t="shared" si="10"/>
        <v>0</v>
      </c>
      <c r="Q51" s="13">
        <f t="shared" si="11"/>
        <v>0</v>
      </c>
    </row>
    <row r="52" spans="1:17" ht="15" x14ac:dyDescent="0.25">
      <c r="A52" s="17" t="s">
        <v>90</v>
      </c>
      <c r="B52" s="6" t="s">
        <v>91</v>
      </c>
      <c r="C52" s="17">
        <v>356.81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 t="s">
        <v>46</v>
      </c>
      <c r="P52" s="6">
        <f t="shared" si="10"/>
        <v>0</v>
      </c>
      <c r="Q52" s="13">
        <f t="shared" si="11"/>
        <v>0</v>
      </c>
    </row>
    <row r="53" spans="1:17" ht="15" x14ac:dyDescent="0.25">
      <c r="A53" s="19" t="s">
        <v>18</v>
      </c>
      <c r="B53" s="6" t="s">
        <v>19</v>
      </c>
      <c r="C53" s="17">
        <v>356.81</v>
      </c>
      <c r="D53" s="6">
        <v>84</v>
      </c>
      <c r="E53" s="6">
        <v>91</v>
      </c>
      <c r="F53" s="6">
        <v>64</v>
      </c>
      <c r="G53" s="6">
        <v>67</v>
      </c>
      <c r="H53" s="6">
        <v>98</v>
      </c>
      <c r="I53" s="6">
        <v>44</v>
      </c>
      <c r="J53" s="6">
        <v>63</v>
      </c>
      <c r="K53" s="6">
        <v>41</v>
      </c>
      <c r="L53" s="6">
        <v>46</v>
      </c>
      <c r="M53" s="6">
        <v>79</v>
      </c>
      <c r="N53" s="6">
        <v>89</v>
      </c>
      <c r="O53" s="6">
        <v>66</v>
      </c>
      <c r="P53" s="6">
        <f t="shared" si="10"/>
        <v>832</v>
      </c>
      <c r="Q53" s="13">
        <f t="shared" si="11"/>
        <v>69.333333333333329</v>
      </c>
    </row>
    <row r="54" spans="1:17" ht="15" x14ac:dyDescent="0.25">
      <c r="A54" s="24" t="s">
        <v>92</v>
      </c>
      <c r="B54" s="6" t="s">
        <v>93</v>
      </c>
      <c r="C54" s="25" t="s">
        <v>94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f t="shared" si="10"/>
        <v>0</v>
      </c>
      <c r="Q54" s="13">
        <f t="shared" si="11"/>
        <v>0</v>
      </c>
    </row>
    <row r="55" spans="1:17" ht="15" x14ac:dyDescent="0.25">
      <c r="A55" s="24" t="s">
        <v>95</v>
      </c>
      <c r="B55" s="26" t="s">
        <v>96</v>
      </c>
      <c r="C55" s="25"/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f t="shared" si="10"/>
        <v>0</v>
      </c>
      <c r="Q55" s="13">
        <f t="shared" si="11"/>
        <v>0</v>
      </c>
    </row>
    <row r="56" spans="1:17" ht="15" x14ac:dyDescent="0.25">
      <c r="A56" s="17" t="s">
        <v>97</v>
      </c>
      <c r="B56" s="6" t="s">
        <v>98</v>
      </c>
      <c r="C56" s="17">
        <v>119.35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f t="shared" si="10"/>
        <v>0</v>
      </c>
      <c r="Q56" s="13">
        <f t="shared" si="11"/>
        <v>0</v>
      </c>
    </row>
    <row r="57" spans="1:17" ht="25.9" customHeight="1" x14ac:dyDescent="0.25">
      <c r="A57" s="19" t="s">
        <v>99</v>
      </c>
      <c r="B57" s="21" t="s">
        <v>100</v>
      </c>
      <c r="C57" s="19">
        <v>391.88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f t="shared" si="10"/>
        <v>0</v>
      </c>
      <c r="Q57" s="13">
        <f t="shared" si="11"/>
        <v>0</v>
      </c>
    </row>
    <row r="58" spans="1:17" ht="15.75" thickBot="1" x14ac:dyDescent="0.3">
      <c r="A58" s="9" t="s">
        <v>101</v>
      </c>
      <c r="B58" s="9"/>
      <c r="C58" s="9"/>
      <c r="D58" s="9">
        <f t="shared" ref="D58:O58" si="12">SUM(D50:D57)</f>
        <v>87</v>
      </c>
      <c r="E58" s="9">
        <f t="shared" si="12"/>
        <v>93</v>
      </c>
      <c r="F58" s="9">
        <f t="shared" si="12"/>
        <v>67</v>
      </c>
      <c r="G58" s="9">
        <f t="shared" si="12"/>
        <v>70</v>
      </c>
      <c r="H58" s="9">
        <f t="shared" si="12"/>
        <v>120</v>
      </c>
      <c r="I58" s="9">
        <f t="shared" si="12"/>
        <v>45</v>
      </c>
      <c r="J58" s="9">
        <f t="shared" si="12"/>
        <v>88</v>
      </c>
      <c r="K58" s="9">
        <f t="shared" si="12"/>
        <v>41</v>
      </c>
      <c r="L58" s="9">
        <f t="shared" si="12"/>
        <v>64</v>
      </c>
      <c r="M58" s="9">
        <f t="shared" si="12"/>
        <v>91</v>
      </c>
      <c r="N58" s="9">
        <f t="shared" si="12"/>
        <v>108</v>
      </c>
      <c r="O58" s="9">
        <f t="shared" si="12"/>
        <v>77</v>
      </c>
      <c r="P58" s="9">
        <f t="shared" si="10"/>
        <v>951</v>
      </c>
      <c r="Q58" s="9">
        <f t="shared" si="11"/>
        <v>79.25</v>
      </c>
    </row>
    <row r="59" spans="1:17" ht="15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</row>
    <row r="60" spans="1:17" ht="45" x14ac:dyDescent="0.25">
      <c r="A60" s="22" t="s">
        <v>102</v>
      </c>
      <c r="B60" s="1" t="s">
        <v>56</v>
      </c>
      <c r="C60" s="10" t="s">
        <v>57</v>
      </c>
      <c r="D60" s="11" t="s">
        <v>4</v>
      </c>
      <c r="E60" s="11" t="s">
        <v>5</v>
      </c>
      <c r="F60" s="11" t="s">
        <v>6</v>
      </c>
      <c r="G60" s="11" t="s">
        <v>7</v>
      </c>
      <c r="H60" s="11" t="s">
        <v>8</v>
      </c>
      <c r="I60" s="11" t="s">
        <v>9</v>
      </c>
      <c r="J60" s="11" t="s">
        <v>10</v>
      </c>
      <c r="K60" s="11" t="s">
        <v>11</v>
      </c>
      <c r="L60" s="11" t="s">
        <v>12</v>
      </c>
      <c r="M60" s="11" t="s">
        <v>13</v>
      </c>
      <c r="N60" s="11" t="s">
        <v>14</v>
      </c>
      <c r="O60" s="11" t="s">
        <v>15</v>
      </c>
      <c r="P60" s="11" t="s">
        <v>16</v>
      </c>
      <c r="Q60" s="11" t="s">
        <v>17</v>
      </c>
    </row>
    <row r="61" spans="1:17" ht="25.9" customHeight="1" x14ac:dyDescent="0.25">
      <c r="A61" s="27" t="s">
        <v>103</v>
      </c>
      <c r="B61" s="18" t="s">
        <v>104</v>
      </c>
      <c r="C61" s="20" t="s">
        <v>105</v>
      </c>
      <c r="D61" s="6">
        <v>45</v>
      </c>
      <c r="E61" s="6">
        <v>66</v>
      </c>
      <c r="F61" s="6">
        <v>53</v>
      </c>
      <c r="G61" s="6">
        <v>41</v>
      </c>
      <c r="H61" s="6">
        <v>66</v>
      </c>
      <c r="I61" s="6">
        <v>31</v>
      </c>
      <c r="J61" s="6">
        <v>37</v>
      </c>
      <c r="K61" s="6">
        <v>48</v>
      </c>
      <c r="L61" s="6">
        <v>105</v>
      </c>
      <c r="M61" s="6">
        <v>48</v>
      </c>
      <c r="N61" s="6">
        <v>39</v>
      </c>
      <c r="O61" s="6">
        <v>38</v>
      </c>
      <c r="P61" s="13">
        <f>SUM(D61:O61)</f>
        <v>617</v>
      </c>
      <c r="Q61" s="13">
        <f>AVERAGE(D61:O61)</f>
        <v>51.416666666666664</v>
      </c>
    </row>
    <row r="62" spans="1:17" ht="15" x14ac:dyDescent="0.25">
      <c r="A62" s="28" t="s">
        <v>106</v>
      </c>
      <c r="B62" s="29" t="s">
        <v>107</v>
      </c>
      <c r="C62" s="17">
        <v>20.74</v>
      </c>
      <c r="D62" s="6">
        <v>1</v>
      </c>
      <c r="E62" s="6">
        <v>0</v>
      </c>
      <c r="F62" s="6">
        <v>0</v>
      </c>
      <c r="G62" s="6">
        <v>0</v>
      </c>
      <c r="H62" s="6">
        <v>0</v>
      </c>
      <c r="I62" s="6">
        <v>2</v>
      </c>
      <c r="J62" s="6">
        <v>0</v>
      </c>
      <c r="K62" s="6">
        <v>1</v>
      </c>
      <c r="L62" s="6">
        <v>0</v>
      </c>
      <c r="M62" s="6">
        <v>0</v>
      </c>
      <c r="N62" s="6">
        <v>1</v>
      </c>
      <c r="O62" s="6">
        <v>1</v>
      </c>
      <c r="P62" s="13">
        <f>SUM(D62:O62)</f>
        <v>6</v>
      </c>
      <c r="Q62" s="13">
        <f>AVERAGE(D62:O62)</f>
        <v>0.5</v>
      </c>
    </row>
    <row r="63" spans="1:17" ht="15" x14ac:dyDescent="0.25">
      <c r="A63" s="17" t="s">
        <v>108</v>
      </c>
      <c r="B63" s="29" t="s">
        <v>109</v>
      </c>
      <c r="C63" s="23">
        <v>70</v>
      </c>
      <c r="D63" s="6">
        <v>16</v>
      </c>
      <c r="E63" s="6">
        <v>19</v>
      </c>
      <c r="F63" s="6">
        <v>17</v>
      </c>
      <c r="G63" s="6">
        <v>18</v>
      </c>
      <c r="H63" s="6">
        <v>22</v>
      </c>
      <c r="I63" s="6">
        <v>19</v>
      </c>
      <c r="J63" s="6">
        <v>21</v>
      </c>
      <c r="K63" s="6">
        <v>17</v>
      </c>
      <c r="L63" s="6">
        <v>23</v>
      </c>
      <c r="M63" s="6">
        <v>29</v>
      </c>
      <c r="N63" s="6">
        <v>19</v>
      </c>
      <c r="O63" s="6">
        <v>18</v>
      </c>
      <c r="P63" s="13">
        <f>SUM(D63:O63)</f>
        <v>238</v>
      </c>
      <c r="Q63" s="13">
        <f>AVERAGE(D63:O63)</f>
        <v>19.833333333333332</v>
      </c>
    </row>
    <row r="64" spans="1:17" ht="15.75" thickBot="1" x14ac:dyDescent="0.3">
      <c r="A64" s="9" t="s">
        <v>110</v>
      </c>
      <c r="B64" s="9"/>
      <c r="C64" s="9"/>
      <c r="D64" s="9">
        <f t="shared" ref="D64:O64" si="13">SUM(D61:D63)</f>
        <v>62</v>
      </c>
      <c r="E64" s="9">
        <f t="shared" si="13"/>
        <v>85</v>
      </c>
      <c r="F64" s="9">
        <f t="shared" si="13"/>
        <v>70</v>
      </c>
      <c r="G64" s="9">
        <f t="shared" si="13"/>
        <v>59</v>
      </c>
      <c r="H64" s="9">
        <f t="shared" si="13"/>
        <v>88</v>
      </c>
      <c r="I64" s="9">
        <f t="shared" si="13"/>
        <v>52</v>
      </c>
      <c r="J64" s="9">
        <f t="shared" si="13"/>
        <v>58</v>
      </c>
      <c r="K64" s="9">
        <f t="shared" si="13"/>
        <v>66</v>
      </c>
      <c r="L64" s="9">
        <f t="shared" si="13"/>
        <v>128</v>
      </c>
      <c r="M64" s="9">
        <f t="shared" si="13"/>
        <v>77</v>
      </c>
      <c r="N64" s="9">
        <f t="shared" si="13"/>
        <v>59</v>
      </c>
      <c r="O64" s="9">
        <f t="shared" si="13"/>
        <v>57</v>
      </c>
      <c r="P64" s="9">
        <f>SUM(D64:O64)</f>
        <v>861</v>
      </c>
      <c r="Q64" s="9">
        <f>AVERAGE(D64:O64)</f>
        <v>71.75</v>
      </c>
    </row>
    <row r="65" spans="1:17" ht="15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</row>
    <row r="66" spans="1:17" ht="45" x14ac:dyDescent="0.25">
      <c r="A66" s="22" t="s">
        <v>111</v>
      </c>
      <c r="B66" s="1" t="s">
        <v>56</v>
      </c>
      <c r="C66" s="10" t="s">
        <v>57</v>
      </c>
      <c r="D66" s="11" t="s">
        <v>4</v>
      </c>
      <c r="E66" s="11" t="s">
        <v>5</v>
      </c>
      <c r="F66" s="11" t="s">
        <v>6</v>
      </c>
      <c r="G66" s="11" t="s">
        <v>7</v>
      </c>
      <c r="H66" s="11" t="s">
        <v>8</v>
      </c>
      <c r="I66" s="11" t="s">
        <v>9</v>
      </c>
      <c r="J66" s="11" t="s">
        <v>10</v>
      </c>
      <c r="K66" s="11" t="s">
        <v>11</v>
      </c>
      <c r="L66" s="11" t="s">
        <v>12</v>
      </c>
      <c r="M66" s="11" t="s">
        <v>13</v>
      </c>
      <c r="N66" s="11" t="s">
        <v>14</v>
      </c>
      <c r="O66" s="11" t="s">
        <v>15</v>
      </c>
      <c r="P66" s="11" t="s">
        <v>16</v>
      </c>
      <c r="Q66" s="11" t="s">
        <v>17</v>
      </c>
    </row>
    <row r="67" spans="1:17" ht="15" x14ac:dyDescent="0.25">
      <c r="A67" s="30" t="s">
        <v>112</v>
      </c>
      <c r="B67" s="6" t="s">
        <v>113</v>
      </c>
      <c r="C67" s="30">
        <v>356.81</v>
      </c>
      <c r="D67" s="13">
        <v>0</v>
      </c>
      <c r="E67" s="13">
        <v>0</v>
      </c>
      <c r="F67" s="13">
        <v>0</v>
      </c>
      <c r="G67" s="6">
        <v>0</v>
      </c>
      <c r="H67" s="13">
        <v>0</v>
      </c>
      <c r="I67" s="13">
        <v>0</v>
      </c>
      <c r="J67" s="6">
        <v>0</v>
      </c>
      <c r="K67" s="13">
        <v>0</v>
      </c>
      <c r="L67" s="6">
        <v>0</v>
      </c>
      <c r="M67" s="6">
        <v>0</v>
      </c>
      <c r="N67" s="6">
        <v>0</v>
      </c>
      <c r="O67" s="6">
        <v>0</v>
      </c>
      <c r="P67" s="6">
        <f>SUM(D67:O67)</f>
        <v>0</v>
      </c>
      <c r="Q67" s="6">
        <f>AVERAGE(D67:O67)</f>
        <v>0</v>
      </c>
    </row>
    <row r="68" spans="1:17" ht="15" x14ac:dyDescent="0.25">
      <c r="A68" s="9" t="s">
        <v>114</v>
      </c>
      <c r="B68" s="9"/>
      <c r="C68" s="9"/>
      <c r="D68" s="9">
        <f t="shared" ref="D68:O68" si="14">SUM(D65:D67)</f>
        <v>0</v>
      </c>
      <c r="E68" s="9">
        <f t="shared" si="14"/>
        <v>0</v>
      </c>
      <c r="F68" s="9">
        <f t="shared" si="14"/>
        <v>0</v>
      </c>
      <c r="G68" s="9">
        <f t="shared" si="14"/>
        <v>0</v>
      </c>
      <c r="H68" s="9">
        <f t="shared" si="14"/>
        <v>0</v>
      </c>
      <c r="I68" s="9">
        <f t="shared" si="14"/>
        <v>0</v>
      </c>
      <c r="J68" s="9">
        <f t="shared" si="14"/>
        <v>0</v>
      </c>
      <c r="K68" s="9">
        <f t="shared" si="14"/>
        <v>0</v>
      </c>
      <c r="L68" s="9">
        <f t="shared" si="14"/>
        <v>0</v>
      </c>
      <c r="M68" s="9">
        <f t="shared" si="14"/>
        <v>0</v>
      </c>
      <c r="N68" s="9">
        <f t="shared" si="14"/>
        <v>0</v>
      </c>
      <c r="O68" s="9">
        <f t="shared" si="14"/>
        <v>0</v>
      </c>
      <c r="P68" s="9">
        <f>SUM(D68:O68)</f>
        <v>0</v>
      </c>
      <c r="Q68" s="9">
        <f>AVERAGE(D68:O68)</f>
        <v>0</v>
      </c>
    </row>
    <row r="69" spans="1:17" ht="15" x14ac:dyDescent="0.2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</row>
    <row r="70" spans="1:17" ht="45" x14ac:dyDescent="0.25">
      <c r="A70" s="22" t="s">
        <v>115</v>
      </c>
      <c r="B70" s="1" t="s">
        <v>56</v>
      </c>
      <c r="C70" s="10" t="s">
        <v>57</v>
      </c>
      <c r="D70" s="11" t="s">
        <v>4</v>
      </c>
      <c r="E70" s="11" t="s">
        <v>5</v>
      </c>
      <c r="F70" s="11" t="s">
        <v>6</v>
      </c>
      <c r="G70" s="11" t="s">
        <v>7</v>
      </c>
      <c r="H70" s="11" t="s">
        <v>8</v>
      </c>
      <c r="I70" s="11" t="s">
        <v>9</v>
      </c>
      <c r="J70" s="11" t="s">
        <v>10</v>
      </c>
      <c r="K70" s="11" t="s">
        <v>11</v>
      </c>
      <c r="L70" s="11" t="s">
        <v>12</v>
      </c>
      <c r="M70" s="11" t="s">
        <v>13</v>
      </c>
      <c r="N70" s="11" t="s">
        <v>14</v>
      </c>
      <c r="O70" s="11" t="s">
        <v>15</v>
      </c>
      <c r="P70" s="11" t="s">
        <v>16</v>
      </c>
      <c r="Q70" s="11" t="s">
        <v>17</v>
      </c>
    </row>
    <row r="71" spans="1:17" ht="15" x14ac:dyDescent="0.25">
      <c r="A71" s="17" t="s">
        <v>22</v>
      </c>
      <c r="B71" s="6" t="s">
        <v>23</v>
      </c>
      <c r="C71" s="17">
        <v>143.72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3</v>
      </c>
      <c r="N71" s="6">
        <v>0</v>
      </c>
      <c r="O71" s="6">
        <v>0</v>
      </c>
      <c r="P71" s="13">
        <f>SUM(D71:O71)</f>
        <v>3</v>
      </c>
      <c r="Q71" s="13">
        <f>AVERAGE(D71:O71)</f>
        <v>0.25</v>
      </c>
    </row>
    <row r="72" spans="1:17" ht="15" x14ac:dyDescent="0.25">
      <c r="A72" s="17" t="s">
        <v>116</v>
      </c>
      <c r="B72" s="6" t="s">
        <v>117</v>
      </c>
      <c r="C72" s="17">
        <v>315.94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1</v>
      </c>
      <c r="K72" s="6">
        <v>0</v>
      </c>
      <c r="L72" s="6">
        <v>2</v>
      </c>
      <c r="M72" s="6">
        <v>2</v>
      </c>
      <c r="N72" s="6">
        <v>1</v>
      </c>
      <c r="O72" s="6">
        <v>0</v>
      </c>
      <c r="P72" s="13">
        <f>SUM(D72:O72)</f>
        <v>6</v>
      </c>
      <c r="Q72" s="13">
        <f>AVERAGE(D72:O72)</f>
        <v>0.5</v>
      </c>
    </row>
    <row r="73" spans="1:17" ht="15" x14ac:dyDescent="0.25">
      <c r="A73" s="17" t="s">
        <v>118</v>
      </c>
      <c r="B73" s="6" t="s">
        <v>117</v>
      </c>
      <c r="C73" s="17">
        <v>315.94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5</v>
      </c>
      <c r="K73" s="6">
        <v>9</v>
      </c>
      <c r="L73" s="6">
        <v>10</v>
      </c>
      <c r="M73" s="6">
        <v>4</v>
      </c>
      <c r="N73" s="6">
        <v>5</v>
      </c>
      <c r="O73" s="6">
        <v>6</v>
      </c>
      <c r="P73" s="13">
        <f>SUM(D73:O73)</f>
        <v>39</v>
      </c>
      <c r="Q73" s="13">
        <f>AVERAGE(D73:O73)</f>
        <v>3.25</v>
      </c>
    </row>
    <row r="74" spans="1:17" ht="15" x14ac:dyDescent="0.25">
      <c r="A74" s="17" t="s">
        <v>119</v>
      </c>
      <c r="B74" s="6" t="s">
        <v>120</v>
      </c>
      <c r="C74" s="17">
        <v>178.24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13">
        <f>SUM(D74:O74)</f>
        <v>0</v>
      </c>
      <c r="Q74" s="13">
        <f>AVERAGE(D74:O74)</f>
        <v>0</v>
      </c>
    </row>
    <row r="75" spans="1:17" ht="15.75" thickBot="1" x14ac:dyDescent="0.3">
      <c r="A75" s="9" t="s">
        <v>121</v>
      </c>
      <c r="B75" s="9"/>
      <c r="C75" s="9"/>
      <c r="D75" s="9">
        <f t="shared" ref="D75:O75" si="15">SUM(D71:D74)</f>
        <v>0</v>
      </c>
      <c r="E75" s="9">
        <f t="shared" si="15"/>
        <v>0</v>
      </c>
      <c r="F75" s="9">
        <f t="shared" si="15"/>
        <v>0</v>
      </c>
      <c r="G75" s="9">
        <f t="shared" si="15"/>
        <v>0</v>
      </c>
      <c r="H75" s="9">
        <f t="shared" si="15"/>
        <v>0</v>
      </c>
      <c r="I75" s="9">
        <f t="shared" si="15"/>
        <v>0</v>
      </c>
      <c r="J75" s="9">
        <f t="shared" si="15"/>
        <v>6</v>
      </c>
      <c r="K75" s="9">
        <f t="shared" si="15"/>
        <v>9</v>
      </c>
      <c r="L75" s="9">
        <f t="shared" si="15"/>
        <v>12</v>
      </c>
      <c r="M75" s="9">
        <f t="shared" si="15"/>
        <v>9</v>
      </c>
      <c r="N75" s="9">
        <f t="shared" si="15"/>
        <v>6</v>
      </c>
      <c r="O75" s="9">
        <f t="shared" si="15"/>
        <v>6</v>
      </c>
      <c r="P75" s="9">
        <f>SUM(D75:O75)</f>
        <v>48</v>
      </c>
      <c r="Q75" s="9">
        <f>AVERAGE(D75:O75)</f>
        <v>4</v>
      </c>
    </row>
    <row r="76" spans="1:17" ht="15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</row>
    <row r="77" spans="1:17" ht="45" x14ac:dyDescent="0.25">
      <c r="A77" s="22" t="s">
        <v>122</v>
      </c>
      <c r="B77" s="1" t="s">
        <v>56</v>
      </c>
      <c r="C77" s="10" t="s">
        <v>57</v>
      </c>
      <c r="D77" s="11" t="s">
        <v>4</v>
      </c>
      <c r="E77" s="11" t="s">
        <v>5</v>
      </c>
      <c r="F77" s="11" t="s">
        <v>6</v>
      </c>
      <c r="G77" s="11" t="s">
        <v>7</v>
      </c>
      <c r="H77" s="11" t="s">
        <v>8</v>
      </c>
      <c r="I77" s="11" t="s">
        <v>9</v>
      </c>
      <c r="J77" s="11" t="s">
        <v>10</v>
      </c>
      <c r="K77" s="11" t="s">
        <v>11</v>
      </c>
      <c r="L77" s="11" t="s">
        <v>12</v>
      </c>
      <c r="M77" s="11" t="s">
        <v>13</v>
      </c>
      <c r="N77" s="11" t="s">
        <v>14</v>
      </c>
      <c r="O77" s="11" t="s">
        <v>15</v>
      </c>
      <c r="P77" s="11" t="s">
        <v>16</v>
      </c>
      <c r="Q77" s="11" t="s">
        <v>17</v>
      </c>
    </row>
    <row r="78" spans="1:17" ht="15" x14ac:dyDescent="0.25">
      <c r="A78" s="17" t="s">
        <v>123</v>
      </c>
      <c r="B78" s="29" t="s">
        <v>124</v>
      </c>
      <c r="C78" s="17">
        <v>29.86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f t="shared" ref="P78:P86" si="16">SUM(D78:O78)</f>
        <v>0</v>
      </c>
      <c r="Q78" s="6">
        <f t="shared" ref="Q78:Q85" si="17">AVERAGE(D78:O78)</f>
        <v>0</v>
      </c>
    </row>
    <row r="79" spans="1:17" ht="39" customHeight="1" x14ac:dyDescent="0.25">
      <c r="A79" s="19" t="s">
        <v>125</v>
      </c>
      <c r="B79" s="18" t="s">
        <v>126</v>
      </c>
      <c r="C79" s="31" t="s">
        <v>127</v>
      </c>
      <c r="D79" s="6">
        <v>11</v>
      </c>
      <c r="E79" s="6">
        <v>9</v>
      </c>
      <c r="F79" s="6">
        <v>7</v>
      </c>
      <c r="G79" s="6">
        <v>5</v>
      </c>
      <c r="H79" s="6">
        <v>11</v>
      </c>
      <c r="I79" s="6">
        <v>10</v>
      </c>
      <c r="J79" s="6">
        <v>11</v>
      </c>
      <c r="K79" s="6">
        <v>11</v>
      </c>
      <c r="L79" s="6">
        <v>8</v>
      </c>
      <c r="M79" s="6">
        <v>11</v>
      </c>
      <c r="N79" s="6">
        <v>10</v>
      </c>
      <c r="O79" s="6">
        <v>9</v>
      </c>
      <c r="P79" s="6">
        <f t="shared" si="16"/>
        <v>113</v>
      </c>
      <c r="Q79" s="6">
        <f t="shared" si="17"/>
        <v>9.4166666666666661</v>
      </c>
    </row>
    <row r="80" spans="1:17" ht="15" x14ac:dyDescent="0.25">
      <c r="A80" s="17" t="s">
        <v>128</v>
      </c>
      <c r="B80" s="6" t="s">
        <v>129</v>
      </c>
      <c r="C80" s="17">
        <v>256.97000000000003</v>
      </c>
      <c r="D80" s="6">
        <v>1</v>
      </c>
      <c r="E80" s="6">
        <v>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f t="shared" si="16"/>
        <v>2</v>
      </c>
      <c r="Q80" s="6">
        <f t="shared" si="17"/>
        <v>0.16666666666666666</v>
      </c>
    </row>
    <row r="81" spans="1:17" ht="15" x14ac:dyDescent="0.25">
      <c r="A81" s="17" t="s">
        <v>130</v>
      </c>
      <c r="B81" s="6" t="s">
        <v>131</v>
      </c>
      <c r="C81" s="17">
        <v>372.96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1</v>
      </c>
      <c r="K81" s="6">
        <v>2</v>
      </c>
      <c r="L81" s="6">
        <v>0</v>
      </c>
      <c r="M81" s="6">
        <v>0</v>
      </c>
      <c r="N81" s="6">
        <v>0</v>
      </c>
      <c r="O81" s="6">
        <v>0</v>
      </c>
      <c r="P81" s="6">
        <f t="shared" si="16"/>
        <v>3</v>
      </c>
      <c r="Q81" s="6">
        <f t="shared" si="17"/>
        <v>0.25</v>
      </c>
    </row>
    <row r="82" spans="1:17" ht="15" x14ac:dyDescent="0.25">
      <c r="A82" s="17" t="s">
        <v>132</v>
      </c>
      <c r="B82" s="6" t="s">
        <v>73</v>
      </c>
      <c r="C82" s="17">
        <v>360.07</v>
      </c>
      <c r="D82" s="6">
        <v>2</v>
      </c>
      <c r="E82" s="6">
        <v>2</v>
      </c>
      <c r="F82" s="6">
        <v>3</v>
      </c>
      <c r="G82" s="6">
        <v>2</v>
      </c>
      <c r="H82" s="6">
        <v>2</v>
      </c>
      <c r="I82" s="6">
        <v>2</v>
      </c>
      <c r="J82" s="6">
        <v>1</v>
      </c>
      <c r="K82" s="6">
        <v>1</v>
      </c>
      <c r="L82" s="6">
        <v>0</v>
      </c>
      <c r="M82" s="6">
        <v>1</v>
      </c>
      <c r="N82" s="6">
        <v>0</v>
      </c>
      <c r="O82" s="6">
        <v>0</v>
      </c>
      <c r="P82" s="6">
        <f t="shared" si="16"/>
        <v>16</v>
      </c>
      <c r="Q82" s="6">
        <f t="shared" si="17"/>
        <v>1.3333333333333333</v>
      </c>
    </row>
    <row r="83" spans="1:17" ht="15" x14ac:dyDescent="0.25">
      <c r="A83" s="17" t="s">
        <v>133</v>
      </c>
      <c r="B83" s="32" t="s">
        <v>134</v>
      </c>
      <c r="C83" s="17">
        <v>23.16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f t="shared" si="16"/>
        <v>0</v>
      </c>
      <c r="Q83" s="6">
        <f t="shared" si="17"/>
        <v>0</v>
      </c>
    </row>
    <row r="84" spans="1:17" ht="15" x14ac:dyDescent="0.25">
      <c r="A84" s="17" t="s">
        <v>135</v>
      </c>
      <c r="B84" s="6" t="s">
        <v>136</v>
      </c>
      <c r="C84" s="17" t="s">
        <v>46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f t="shared" si="16"/>
        <v>0</v>
      </c>
      <c r="Q84" s="6">
        <f t="shared" si="17"/>
        <v>0</v>
      </c>
    </row>
    <row r="85" spans="1:17" ht="15" x14ac:dyDescent="0.25">
      <c r="A85" s="17" t="s">
        <v>137</v>
      </c>
      <c r="B85" s="18" t="s">
        <v>77</v>
      </c>
      <c r="C85" s="17">
        <v>219.12</v>
      </c>
      <c r="D85" s="6">
        <v>2</v>
      </c>
      <c r="E85" s="6">
        <v>3</v>
      </c>
      <c r="F85" s="6">
        <v>3</v>
      </c>
      <c r="G85" s="6">
        <v>10</v>
      </c>
      <c r="H85" s="6">
        <v>11</v>
      </c>
      <c r="I85" s="6">
        <v>7</v>
      </c>
      <c r="J85" s="6">
        <v>10</v>
      </c>
      <c r="K85" s="6">
        <v>14</v>
      </c>
      <c r="L85" s="6">
        <v>8</v>
      </c>
      <c r="M85" s="6">
        <v>16</v>
      </c>
      <c r="N85" s="6">
        <v>14</v>
      </c>
      <c r="O85" s="6">
        <v>10</v>
      </c>
      <c r="P85" s="6">
        <f t="shared" si="16"/>
        <v>108</v>
      </c>
      <c r="Q85" s="6">
        <f t="shared" si="17"/>
        <v>9</v>
      </c>
    </row>
    <row r="86" spans="1:17" ht="15.75" thickBot="1" x14ac:dyDescent="0.3">
      <c r="A86" s="9" t="s">
        <v>138</v>
      </c>
      <c r="B86" s="9"/>
      <c r="C86" s="9"/>
      <c r="D86" s="9">
        <f t="shared" ref="D86:N86" si="18">SUM(D78:D85)</f>
        <v>16</v>
      </c>
      <c r="E86" s="9">
        <f t="shared" si="18"/>
        <v>15</v>
      </c>
      <c r="F86" s="9">
        <f t="shared" si="18"/>
        <v>13</v>
      </c>
      <c r="G86" s="9">
        <f t="shared" si="18"/>
        <v>17</v>
      </c>
      <c r="H86" s="9">
        <f t="shared" si="18"/>
        <v>24</v>
      </c>
      <c r="I86" s="9">
        <f t="shared" si="18"/>
        <v>19</v>
      </c>
      <c r="J86" s="9">
        <f t="shared" si="18"/>
        <v>23</v>
      </c>
      <c r="K86" s="9">
        <f t="shared" si="18"/>
        <v>28</v>
      </c>
      <c r="L86" s="9">
        <f t="shared" si="18"/>
        <v>16</v>
      </c>
      <c r="M86" s="9">
        <f t="shared" si="18"/>
        <v>28</v>
      </c>
      <c r="N86" s="9">
        <f t="shared" si="18"/>
        <v>24</v>
      </c>
      <c r="O86" s="9">
        <f>SUM(O79:O85)</f>
        <v>19</v>
      </c>
      <c r="P86" s="9">
        <f t="shared" si="16"/>
        <v>242</v>
      </c>
      <c r="Q86" s="9">
        <f>SUM(Q26,Q31,Q43,Q47,Q58,Q64,Q68,Q75)</f>
        <v>368.25</v>
      </c>
    </row>
    <row r="87" spans="1:17" ht="15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</row>
    <row r="88" spans="1:17" ht="15.75" thickBot="1" x14ac:dyDescent="0.3">
      <c r="A88" s="33" t="s">
        <v>139</v>
      </c>
      <c r="B88" s="33"/>
      <c r="C88" s="33"/>
      <c r="D88" s="34">
        <f t="shared" ref="D88:O88" si="19">SUM(D13,D17,D26,D31,D43,D47,D58,D64,D68,D75,D86)</f>
        <v>475</v>
      </c>
      <c r="E88" s="34">
        <f t="shared" si="19"/>
        <v>427</v>
      </c>
      <c r="F88" s="34">
        <f t="shared" si="19"/>
        <v>399</v>
      </c>
      <c r="G88" s="34">
        <f t="shared" si="19"/>
        <v>416</v>
      </c>
      <c r="H88" s="34">
        <f t="shared" si="19"/>
        <v>494</v>
      </c>
      <c r="I88" s="34">
        <f t="shared" si="19"/>
        <v>433</v>
      </c>
      <c r="J88" s="34">
        <f t="shared" si="19"/>
        <v>521</v>
      </c>
      <c r="K88" s="34">
        <f t="shared" si="19"/>
        <v>420</v>
      </c>
      <c r="L88" s="34">
        <f t="shared" si="19"/>
        <v>424</v>
      </c>
      <c r="M88" s="34">
        <f t="shared" si="19"/>
        <v>464</v>
      </c>
      <c r="N88" s="34">
        <f t="shared" si="19"/>
        <v>463</v>
      </c>
      <c r="O88" s="34">
        <f t="shared" si="19"/>
        <v>408</v>
      </c>
      <c r="P88" s="34">
        <f>SUM(D88:O88)</f>
        <v>5344</v>
      </c>
      <c r="Q88" s="34">
        <f>AVERAGE(D88:O88)</f>
        <v>445.33333333333331</v>
      </c>
    </row>
    <row r="89" spans="1:17" ht="15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</row>
    <row r="90" spans="1:17" ht="15" x14ac:dyDescent="0.25">
      <c r="A90" s="35" t="s">
        <v>140</v>
      </c>
      <c r="B90" s="35"/>
      <c r="C90" s="35"/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f>SUM(D90:O90)</f>
        <v>0</v>
      </c>
      <c r="Q90" s="9">
        <f>AVERAGE(D90:O90)</f>
        <v>0</v>
      </c>
    </row>
    <row r="91" spans="1:17" ht="12.6" customHeight="1" x14ac:dyDescent="0.25"/>
    <row r="92" spans="1:17" ht="14.65" customHeight="1" x14ac:dyDescent="0.25"/>
    <row r="93" spans="1:17" ht="18.600000000000001" customHeight="1" x14ac:dyDescent="0.25">
      <c r="A93" s="37" t="s">
        <v>141</v>
      </c>
      <c r="B93" s="37" t="s">
        <v>142</v>
      </c>
    </row>
    <row r="94" spans="1:17" ht="17.25" x14ac:dyDescent="0.25">
      <c r="A94" s="38" t="s">
        <v>143</v>
      </c>
      <c r="B94" s="39"/>
    </row>
    <row r="95" spans="1:17" ht="17.25" x14ac:dyDescent="0.25">
      <c r="A95" s="38" t="s">
        <v>18</v>
      </c>
      <c r="B95" s="39"/>
    </row>
    <row r="96" spans="1:17" ht="17.25" x14ac:dyDescent="0.25">
      <c r="A96" s="38" t="s">
        <v>84</v>
      </c>
      <c r="B96" s="39"/>
    </row>
    <row r="97" spans="1:2" ht="17.25" x14ac:dyDescent="0.25">
      <c r="A97" s="38" t="s">
        <v>144</v>
      </c>
      <c r="B97" s="39"/>
    </row>
    <row r="98" spans="1:2" ht="17.25" x14ac:dyDescent="0.25">
      <c r="A98" s="38" t="s">
        <v>80</v>
      </c>
      <c r="B98" s="39"/>
    </row>
  </sheetData>
  <mergeCells count="15">
    <mergeCell ref="A76:Q76"/>
    <mergeCell ref="A87:Q87"/>
    <mergeCell ref="A89:Q89"/>
    <mergeCell ref="A32:Q32"/>
    <mergeCell ref="A44:Q44"/>
    <mergeCell ref="A48:Q48"/>
    <mergeCell ref="A59:Q59"/>
    <mergeCell ref="A65:Q65"/>
    <mergeCell ref="A69:Q69"/>
    <mergeCell ref="A1:Q1"/>
    <mergeCell ref="A2:Q2"/>
    <mergeCell ref="A3:Q3"/>
    <mergeCell ref="A14:Q14"/>
    <mergeCell ref="C18:P18"/>
    <mergeCell ref="A27:Q27"/>
  </mergeCells>
  <pageMargins left="0.51181102362204722" right="0.51181102362204722" top="1.1811023622047243" bottom="1.1811023622047243" header="0.78740157480314954" footer="0.78740157480314954"/>
  <pageSetup paperSize="0" fitToWidth="0" fitToHeight="0" orientation="landscape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workbookViewId="0"/>
  </sheetViews>
  <sheetFormatPr defaultRowHeight="13.9" x14ac:dyDescent="0.25"/>
  <cols>
    <col min="1" max="1" width="76.28515625" customWidth="1"/>
    <col min="2" max="2" width="22.42578125" customWidth="1"/>
    <col min="3" max="3" width="21.42578125" customWidth="1"/>
    <col min="4" max="10" width="7" customWidth="1"/>
    <col min="11" max="11" width="6.7109375" customWidth="1"/>
    <col min="12" max="12" width="7" customWidth="1"/>
    <col min="13" max="13" width="6.85546875" customWidth="1"/>
    <col min="14" max="14" width="7.140625" customWidth="1"/>
    <col min="15" max="15" width="7.42578125" customWidth="1"/>
    <col min="16" max="16" width="8.140625" customWidth="1"/>
    <col min="17" max="17" width="14.85546875" customWidth="1"/>
    <col min="18" max="259" width="11.140625" customWidth="1"/>
    <col min="260" max="1023" width="9.42578125" customWidth="1"/>
    <col min="1024" max="1024" width="9.140625" customWidth="1"/>
  </cols>
  <sheetData>
    <row r="1" spans="1:17" ht="43.5" customHeight="1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19.7" customHeight="1" x14ac:dyDescent="0.25">
      <c r="A2" s="68" t="s">
        <v>145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17" ht="1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1:17" ht="42" customHeight="1" x14ac:dyDescent="0.25">
      <c r="A4" s="47" t="s">
        <v>1</v>
      </c>
      <c r="B4" s="46" t="s">
        <v>56</v>
      </c>
      <c r="C4" s="48" t="s">
        <v>57</v>
      </c>
      <c r="D4" s="34" t="s">
        <v>4</v>
      </c>
      <c r="E4" s="34" t="s">
        <v>5</v>
      </c>
      <c r="F4" s="34" t="s">
        <v>6</v>
      </c>
      <c r="G4" s="34" t="s">
        <v>7</v>
      </c>
      <c r="H4" s="34" t="s">
        <v>8</v>
      </c>
      <c r="I4" s="34" t="s">
        <v>9</v>
      </c>
      <c r="J4" s="34" t="s">
        <v>10</v>
      </c>
      <c r="K4" s="34" t="s">
        <v>11</v>
      </c>
      <c r="L4" s="34" t="s">
        <v>12</v>
      </c>
      <c r="M4" s="34" t="s">
        <v>13</v>
      </c>
      <c r="N4" s="34" t="s">
        <v>14</v>
      </c>
      <c r="O4" s="34" t="s">
        <v>15</v>
      </c>
      <c r="P4" s="34" t="s">
        <v>16</v>
      </c>
      <c r="Q4" s="34" t="s">
        <v>17</v>
      </c>
    </row>
    <row r="5" spans="1:17" ht="15" x14ac:dyDescent="0.25">
      <c r="A5" s="30" t="s">
        <v>146</v>
      </c>
      <c r="B5" s="13" t="s">
        <v>147</v>
      </c>
      <c r="C5" s="30">
        <v>25.83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13">
        <f t="shared" ref="P5:P13" si="0">SUM(D5:O5)</f>
        <v>0</v>
      </c>
      <c r="Q5" s="13">
        <f t="shared" ref="Q5:Q13" si="1">AVERAGE(D5:O5)</f>
        <v>0</v>
      </c>
    </row>
    <row r="6" spans="1:17" ht="15" x14ac:dyDescent="0.25">
      <c r="A6" s="30" t="s">
        <v>148</v>
      </c>
      <c r="B6" s="13" t="s">
        <v>149</v>
      </c>
      <c r="C6" s="30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13">
        <f t="shared" si="0"/>
        <v>0</v>
      </c>
      <c r="Q6" s="13">
        <f t="shared" si="1"/>
        <v>0</v>
      </c>
    </row>
    <row r="7" spans="1:17" ht="15" x14ac:dyDescent="0.25">
      <c r="A7" s="30" t="s">
        <v>150</v>
      </c>
      <c r="B7" s="13" t="s">
        <v>151</v>
      </c>
      <c r="C7" s="30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13">
        <f t="shared" si="0"/>
        <v>0</v>
      </c>
      <c r="Q7" s="13">
        <f t="shared" si="1"/>
        <v>0</v>
      </c>
    </row>
    <row r="8" spans="1:17" ht="22.5" customHeight="1" x14ac:dyDescent="0.25">
      <c r="A8" s="49" t="s">
        <v>152</v>
      </c>
      <c r="B8" s="50" t="s">
        <v>134</v>
      </c>
      <c r="C8" s="30">
        <v>23.16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3">
        <f t="shared" si="0"/>
        <v>0</v>
      </c>
      <c r="Q8" s="13">
        <f t="shared" si="1"/>
        <v>0</v>
      </c>
    </row>
    <row r="9" spans="1:17" ht="15" x14ac:dyDescent="0.25">
      <c r="A9" s="30" t="s">
        <v>153</v>
      </c>
      <c r="B9" s="13" t="s">
        <v>91</v>
      </c>
      <c r="C9" s="30">
        <v>356.81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13">
        <f t="shared" si="0"/>
        <v>0</v>
      </c>
      <c r="Q9" s="13">
        <f t="shared" si="1"/>
        <v>0</v>
      </c>
    </row>
    <row r="10" spans="1:17" ht="15" x14ac:dyDescent="0.25">
      <c r="A10" s="30" t="s">
        <v>154</v>
      </c>
      <c r="B10" s="13" t="s">
        <v>155</v>
      </c>
      <c r="C10" s="30">
        <v>12.46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13">
        <f t="shared" si="0"/>
        <v>0</v>
      </c>
      <c r="Q10" s="13">
        <f t="shared" si="1"/>
        <v>0</v>
      </c>
    </row>
    <row r="11" spans="1:17" ht="15" x14ac:dyDescent="0.25">
      <c r="A11" s="30" t="s">
        <v>156</v>
      </c>
      <c r="B11" s="13" t="s">
        <v>155</v>
      </c>
      <c r="C11" s="30">
        <v>12.46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13">
        <f t="shared" si="0"/>
        <v>0</v>
      </c>
      <c r="Q11" s="13">
        <f t="shared" si="1"/>
        <v>0</v>
      </c>
    </row>
    <row r="12" spans="1:17" ht="15" x14ac:dyDescent="0.25">
      <c r="A12" s="30" t="s">
        <v>157</v>
      </c>
      <c r="B12" s="13" t="s">
        <v>155</v>
      </c>
      <c r="C12" s="30">
        <v>12.46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13">
        <f t="shared" si="0"/>
        <v>0</v>
      </c>
      <c r="Q12" s="13">
        <f t="shared" si="1"/>
        <v>0</v>
      </c>
    </row>
    <row r="13" spans="1:17" ht="15" x14ac:dyDescent="0.25">
      <c r="A13" s="9" t="s">
        <v>34</v>
      </c>
      <c r="B13" s="9"/>
      <c r="C13" s="9"/>
      <c r="D13" s="9">
        <f t="shared" ref="D13:O13" si="2">SUM(D5:D12)</f>
        <v>0</v>
      </c>
      <c r="E13" s="9">
        <f t="shared" si="2"/>
        <v>0</v>
      </c>
      <c r="F13" s="9">
        <f t="shared" si="2"/>
        <v>0</v>
      </c>
      <c r="G13" s="9">
        <f t="shared" si="2"/>
        <v>0</v>
      </c>
      <c r="H13" s="9">
        <f t="shared" si="2"/>
        <v>0</v>
      </c>
      <c r="I13" s="9">
        <f t="shared" si="2"/>
        <v>0</v>
      </c>
      <c r="J13" s="9">
        <f t="shared" si="2"/>
        <v>0</v>
      </c>
      <c r="K13" s="9">
        <f t="shared" si="2"/>
        <v>0</v>
      </c>
      <c r="L13" s="9">
        <f t="shared" si="2"/>
        <v>0</v>
      </c>
      <c r="M13" s="9">
        <f t="shared" si="2"/>
        <v>0</v>
      </c>
      <c r="N13" s="9">
        <f t="shared" si="2"/>
        <v>0</v>
      </c>
      <c r="O13" s="9">
        <f t="shared" si="2"/>
        <v>0</v>
      </c>
      <c r="P13" s="9">
        <f t="shared" si="0"/>
        <v>0</v>
      </c>
      <c r="Q13" s="9">
        <f t="shared" si="1"/>
        <v>0</v>
      </c>
    </row>
    <row r="14" spans="1:17" ht="15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</row>
    <row r="15" spans="1:17" ht="45" x14ac:dyDescent="0.25">
      <c r="A15" s="51" t="s">
        <v>158</v>
      </c>
      <c r="B15" s="46" t="s">
        <v>56</v>
      </c>
      <c r="C15" s="48" t="s">
        <v>57</v>
      </c>
      <c r="D15" s="34" t="s">
        <v>4</v>
      </c>
      <c r="E15" s="34" t="s">
        <v>5</v>
      </c>
      <c r="F15" s="34" t="s">
        <v>6</v>
      </c>
      <c r="G15" s="34" t="s">
        <v>7</v>
      </c>
      <c r="H15" s="34" t="s">
        <v>8</v>
      </c>
      <c r="I15" s="34" t="s">
        <v>9</v>
      </c>
      <c r="J15" s="34" t="s">
        <v>10</v>
      </c>
      <c r="K15" s="34" t="s">
        <v>11</v>
      </c>
      <c r="L15" s="34" t="s">
        <v>12</v>
      </c>
      <c r="M15" s="34" t="s">
        <v>13</v>
      </c>
      <c r="N15" s="34" t="s">
        <v>14</v>
      </c>
      <c r="O15" s="34" t="s">
        <v>15</v>
      </c>
      <c r="P15" s="34" t="s">
        <v>16</v>
      </c>
      <c r="Q15" s="34" t="s">
        <v>17</v>
      </c>
    </row>
    <row r="16" spans="1:17" ht="15" x14ac:dyDescent="0.25">
      <c r="A16" s="30" t="s">
        <v>159</v>
      </c>
      <c r="B16" s="13" t="s">
        <v>160</v>
      </c>
      <c r="C16" s="30">
        <v>78.75</v>
      </c>
      <c r="D16" s="6">
        <v>2</v>
      </c>
      <c r="E16" s="6">
        <v>1</v>
      </c>
      <c r="F16" s="6">
        <v>0</v>
      </c>
      <c r="G16" s="6">
        <v>1</v>
      </c>
      <c r="H16" s="6">
        <v>3</v>
      </c>
      <c r="I16" s="6">
        <v>3</v>
      </c>
      <c r="J16" s="6">
        <v>1</v>
      </c>
      <c r="K16" s="6">
        <v>0</v>
      </c>
      <c r="L16" s="6">
        <v>3</v>
      </c>
      <c r="M16" s="6">
        <v>8</v>
      </c>
      <c r="N16" s="6">
        <v>2</v>
      </c>
      <c r="O16" s="6">
        <v>0</v>
      </c>
      <c r="P16" s="13">
        <f t="shared" ref="P16:P23" si="3">SUM(D16:O16)</f>
        <v>24</v>
      </c>
      <c r="Q16" s="13">
        <f t="shared" ref="Q16:Q23" si="4">AVERAGE(D16:O16)</f>
        <v>2</v>
      </c>
    </row>
    <row r="17" spans="1:17" ht="15" x14ac:dyDescent="0.25">
      <c r="A17" s="30" t="s">
        <v>161</v>
      </c>
      <c r="B17" s="13" t="s">
        <v>162</v>
      </c>
      <c r="C17" s="30">
        <v>22.93</v>
      </c>
      <c r="D17" s="6">
        <v>25</v>
      </c>
      <c r="E17" s="6">
        <v>14</v>
      </c>
      <c r="F17" s="6">
        <v>17</v>
      </c>
      <c r="G17" s="6">
        <v>15</v>
      </c>
      <c r="H17" s="6">
        <v>9</v>
      </c>
      <c r="I17" s="6">
        <v>11</v>
      </c>
      <c r="J17" s="6">
        <v>20</v>
      </c>
      <c r="K17" s="6">
        <v>15</v>
      </c>
      <c r="L17" s="6">
        <v>14</v>
      </c>
      <c r="M17" s="6">
        <v>13</v>
      </c>
      <c r="N17" s="6">
        <v>14</v>
      </c>
      <c r="O17" s="6">
        <v>4</v>
      </c>
      <c r="P17" s="13">
        <f t="shared" si="3"/>
        <v>171</v>
      </c>
      <c r="Q17" s="13">
        <f t="shared" si="4"/>
        <v>14.25</v>
      </c>
    </row>
    <row r="18" spans="1:17" ht="15" x14ac:dyDescent="0.25">
      <c r="A18" s="30" t="s">
        <v>163</v>
      </c>
      <c r="B18" s="13" t="s">
        <v>164</v>
      </c>
      <c r="C18" s="30">
        <v>82.28</v>
      </c>
      <c r="D18" s="6">
        <v>4</v>
      </c>
      <c r="E18" s="6">
        <v>2</v>
      </c>
      <c r="F18" s="6">
        <v>6</v>
      </c>
      <c r="G18" s="6">
        <v>14</v>
      </c>
      <c r="H18" s="6">
        <v>11</v>
      </c>
      <c r="I18" s="6">
        <v>11</v>
      </c>
      <c r="J18" s="6">
        <v>18</v>
      </c>
      <c r="K18" s="6">
        <v>8</v>
      </c>
      <c r="L18" s="6">
        <v>7</v>
      </c>
      <c r="M18" s="6">
        <v>19</v>
      </c>
      <c r="N18" s="6">
        <v>4</v>
      </c>
      <c r="O18" s="6">
        <v>1</v>
      </c>
      <c r="P18" s="13">
        <f t="shared" si="3"/>
        <v>105</v>
      </c>
      <c r="Q18" s="13">
        <f t="shared" si="4"/>
        <v>8.75</v>
      </c>
    </row>
    <row r="19" spans="1:17" ht="15" x14ac:dyDescent="0.25">
      <c r="A19" s="30" t="s">
        <v>165</v>
      </c>
      <c r="B19" s="13" t="s">
        <v>166</v>
      </c>
      <c r="C19" s="30">
        <v>75.150000000000006</v>
      </c>
      <c r="D19" s="6">
        <v>50</v>
      </c>
      <c r="E19" s="6">
        <v>48</v>
      </c>
      <c r="F19" s="6">
        <v>42</v>
      </c>
      <c r="G19" s="6">
        <v>49</v>
      </c>
      <c r="H19" s="6">
        <v>43</v>
      </c>
      <c r="I19" s="6">
        <v>39</v>
      </c>
      <c r="J19" s="6">
        <v>37</v>
      </c>
      <c r="K19" s="6">
        <v>47</v>
      </c>
      <c r="L19" s="6">
        <v>47</v>
      </c>
      <c r="M19" s="6">
        <v>54</v>
      </c>
      <c r="N19" s="6">
        <v>40</v>
      </c>
      <c r="O19" s="6">
        <v>29</v>
      </c>
      <c r="P19" s="13">
        <f t="shared" si="3"/>
        <v>525</v>
      </c>
      <c r="Q19" s="13">
        <f t="shared" si="4"/>
        <v>43.75</v>
      </c>
    </row>
    <row r="20" spans="1:17" ht="15" x14ac:dyDescent="0.25">
      <c r="A20" s="30" t="s">
        <v>167</v>
      </c>
      <c r="B20" s="13" t="s">
        <v>168</v>
      </c>
      <c r="C20" s="30">
        <v>82.28</v>
      </c>
      <c r="D20" s="6">
        <v>40</v>
      </c>
      <c r="E20" s="6">
        <v>36</v>
      </c>
      <c r="F20" s="6">
        <v>40</v>
      </c>
      <c r="G20" s="6">
        <v>38</v>
      </c>
      <c r="H20" s="6">
        <v>40</v>
      </c>
      <c r="I20" s="6">
        <v>38</v>
      </c>
      <c r="J20" s="6">
        <v>74</v>
      </c>
      <c r="K20" s="6">
        <v>76</v>
      </c>
      <c r="L20" s="6">
        <v>77</v>
      </c>
      <c r="M20" s="6">
        <v>78</v>
      </c>
      <c r="N20" s="6">
        <v>71</v>
      </c>
      <c r="O20" s="6">
        <v>58</v>
      </c>
      <c r="P20" s="13">
        <f t="shared" si="3"/>
        <v>666</v>
      </c>
      <c r="Q20" s="13">
        <f t="shared" si="4"/>
        <v>55.5</v>
      </c>
    </row>
    <row r="21" spans="1:17" ht="15" x14ac:dyDescent="0.25">
      <c r="A21" s="17" t="s">
        <v>169</v>
      </c>
      <c r="B21" s="13" t="s">
        <v>168</v>
      </c>
      <c r="C21" s="30">
        <v>82.28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13">
        <f t="shared" si="3"/>
        <v>2</v>
      </c>
      <c r="Q21" s="13">
        <f t="shared" si="4"/>
        <v>0.16666666666666666</v>
      </c>
    </row>
    <row r="22" spans="1:17" ht="15" x14ac:dyDescent="0.25">
      <c r="A22" s="30" t="s">
        <v>170</v>
      </c>
      <c r="B22" s="13" t="s">
        <v>171</v>
      </c>
      <c r="C22" s="30">
        <v>209.55</v>
      </c>
      <c r="D22" s="6">
        <v>51</v>
      </c>
      <c r="E22" s="6">
        <v>54</v>
      </c>
      <c r="F22" s="6">
        <v>68</v>
      </c>
      <c r="G22" s="6">
        <v>76</v>
      </c>
      <c r="H22" s="6">
        <v>57</v>
      </c>
      <c r="I22" s="6">
        <v>59</v>
      </c>
      <c r="J22" s="6">
        <v>71</v>
      </c>
      <c r="K22" s="6">
        <v>79</v>
      </c>
      <c r="L22" s="6">
        <v>62</v>
      </c>
      <c r="M22" s="6">
        <v>36</v>
      </c>
      <c r="N22" s="6">
        <v>36</v>
      </c>
      <c r="O22" s="6">
        <v>26</v>
      </c>
      <c r="P22" s="13">
        <f t="shared" si="3"/>
        <v>675</v>
      </c>
      <c r="Q22" s="13">
        <f t="shared" si="4"/>
        <v>56.25</v>
      </c>
    </row>
    <row r="23" spans="1:17" ht="15" x14ac:dyDescent="0.25">
      <c r="A23" s="30" t="s">
        <v>172</v>
      </c>
      <c r="B23" s="18" t="s">
        <v>173</v>
      </c>
      <c r="C23" s="30">
        <v>335.72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13">
        <f t="shared" si="3"/>
        <v>1</v>
      </c>
      <c r="Q23" s="13">
        <f t="shared" si="4"/>
        <v>8.3333333333333329E-2</v>
      </c>
    </row>
    <row r="24" spans="1:17" ht="15" x14ac:dyDescent="0.25">
      <c r="A24" s="9" t="s">
        <v>54</v>
      </c>
      <c r="B24" s="9"/>
      <c r="C24" s="52"/>
      <c r="D24" s="9">
        <f t="shared" ref="D24:Q24" si="5">SUM(D16:D23)</f>
        <v>172</v>
      </c>
      <c r="E24" s="9">
        <f t="shared" si="5"/>
        <v>155</v>
      </c>
      <c r="F24" s="9">
        <f t="shared" si="5"/>
        <v>173</v>
      </c>
      <c r="G24" s="9">
        <f t="shared" si="5"/>
        <v>193</v>
      </c>
      <c r="H24" s="9">
        <f t="shared" si="5"/>
        <v>163</v>
      </c>
      <c r="I24" s="9">
        <f t="shared" si="5"/>
        <v>161</v>
      </c>
      <c r="J24" s="9">
        <f t="shared" si="5"/>
        <v>223</v>
      </c>
      <c r="K24" s="9">
        <f t="shared" si="5"/>
        <v>225</v>
      </c>
      <c r="L24" s="9">
        <f t="shared" si="5"/>
        <v>210</v>
      </c>
      <c r="M24" s="9">
        <f t="shared" si="5"/>
        <v>208</v>
      </c>
      <c r="N24" s="9">
        <f t="shared" si="5"/>
        <v>168</v>
      </c>
      <c r="O24" s="9">
        <f t="shared" si="5"/>
        <v>118</v>
      </c>
      <c r="P24" s="9">
        <f t="shared" si="5"/>
        <v>2169</v>
      </c>
      <c r="Q24" s="9">
        <f t="shared" si="5"/>
        <v>180.75000000000003</v>
      </c>
    </row>
    <row r="25" spans="1:17" ht="15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spans="1:17" ht="45" x14ac:dyDescent="0.25">
      <c r="A26" s="33" t="s">
        <v>55</v>
      </c>
      <c r="B26" s="46" t="s">
        <v>56</v>
      </c>
      <c r="C26" s="48" t="s">
        <v>57</v>
      </c>
      <c r="D26" s="34" t="s">
        <v>4</v>
      </c>
      <c r="E26" s="34" t="s">
        <v>5</v>
      </c>
      <c r="F26" s="34" t="s">
        <v>6</v>
      </c>
      <c r="G26" s="34" t="s">
        <v>7</v>
      </c>
      <c r="H26" s="34" t="s">
        <v>8</v>
      </c>
      <c r="I26" s="34" t="s">
        <v>9</v>
      </c>
      <c r="J26" s="34" t="s">
        <v>10</v>
      </c>
      <c r="K26" s="34" t="s">
        <v>11</v>
      </c>
      <c r="L26" s="34" t="s">
        <v>12</v>
      </c>
      <c r="M26" s="34" t="s">
        <v>13</v>
      </c>
      <c r="N26" s="34" t="s">
        <v>14</v>
      </c>
      <c r="O26" s="34" t="s">
        <v>15</v>
      </c>
      <c r="P26" s="34" t="s">
        <v>16</v>
      </c>
      <c r="Q26" s="34" t="s">
        <v>17</v>
      </c>
    </row>
    <row r="27" spans="1:17" ht="15" x14ac:dyDescent="0.25">
      <c r="A27" s="30" t="s">
        <v>174</v>
      </c>
      <c r="B27" s="13" t="s">
        <v>175</v>
      </c>
      <c r="C27" s="30">
        <v>5.63</v>
      </c>
      <c r="D27" s="6">
        <v>63</v>
      </c>
      <c r="E27" s="6">
        <v>59</v>
      </c>
      <c r="F27" s="6">
        <v>55</v>
      </c>
      <c r="G27" s="6">
        <v>55</v>
      </c>
      <c r="H27" s="6">
        <v>61</v>
      </c>
      <c r="I27" s="6">
        <v>44</v>
      </c>
      <c r="J27" s="6">
        <v>58</v>
      </c>
      <c r="K27" s="6">
        <v>58</v>
      </c>
      <c r="L27" s="6">
        <v>53</v>
      </c>
      <c r="M27" s="6">
        <v>45</v>
      </c>
      <c r="N27" s="6">
        <v>58</v>
      </c>
      <c r="O27" s="6">
        <v>43</v>
      </c>
      <c r="P27" s="6">
        <f>SUM(D27:O27)</f>
        <v>652</v>
      </c>
      <c r="Q27" s="6">
        <f>AVERAGE(D27:O27)</f>
        <v>54.333333333333336</v>
      </c>
    </row>
    <row r="28" spans="1:17" ht="15" x14ac:dyDescent="0.25">
      <c r="A28" s="30" t="s">
        <v>176</v>
      </c>
      <c r="B28" s="13" t="s">
        <v>155</v>
      </c>
      <c r="C28" s="30">
        <v>12.46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f>SUM(D28:O28)</f>
        <v>0</v>
      </c>
      <c r="Q28" s="6">
        <f>AVERAGE(D28:O28)</f>
        <v>0</v>
      </c>
    </row>
    <row r="29" spans="1:17" ht="26.85" customHeight="1" x14ac:dyDescent="0.25">
      <c r="A29" s="19" t="s">
        <v>177</v>
      </c>
      <c r="B29" s="53" t="s">
        <v>178</v>
      </c>
      <c r="C29" s="54" t="s">
        <v>179</v>
      </c>
      <c r="D29" s="6">
        <v>0</v>
      </c>
      <c r="E29" s="6">
        <v>2</v>
      </c>
      <c r="F29" s="6">
        <v>0</v>
      </c>
      <c r="G29" s="6">
        <v>1</v>
      </c>
      <c r="H29" s="6">
        <v>1</v>
      </c>
      <c r="I29" s="6">
        <v>3</v>
      </c>
      <c r="J29" s="6">
        <v>1</v>
      </c>
      <c r="K29" s="6">
        <v>1</v>
      </c>
      <c r="L29" s="6">
        <v>0</v>
      </c>
      <c r="M29" s="6">
        <v>1</v>
      </c>
      <c r="N29" s="6">
        <v>1</v>
      </c>
      <c r="O29" s="6">
        <v>2</v>
      </c>
      <c r="P29" s="6">
        <f>SUM(D29:O29)</f>
        <v>13</v>
      </c>
      <c r="Q29" s="6">
        <f>AVERAGE(D29:O29)</f>
        <v>1.0833333333333333</v>
      </c>
    </row>
    <row r="30" spans="1:17" ht="15" x14ac:dyDescent="0.25">
      <c r="A30" s="30" t="s">
        <v>180</v>
      </c>
      <c r="B30" s="13" t="s">
        <v>181</v>
      </c>
      <c r="C30" s="30">
        <v>139.07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f>SUM(D30:O30)</f>
        <v>0</v>
      </c>
      <c r="Q30" s="6">
        <f>AVERAGE(D30:O30)</f>
        <v>0</v>
      </c>
    </row>
    <row r="31" spans="1:17" ht="15" customHeight="1" x14ac:dyDescent="0.25">
      <c r="A31" s="9" t="s">
        <v>62</v>
      </c>
      <c r="B31" s="9"/>
      <c r="C31" s="9"/>
      <c r="D31" s="9">
        <f t="shared" ref="D31:P31" si="6">SUM(D27:D30)</f>
        <v>63</v>
      </c>
      <c r="E31" s="9">
        <f t="shared" si="6"/>
        <v>61</v>
      </c>
      <c r="F31" s="9">
        <f t="shared" si="6"/>
        <v>55</v>
      </c>
      <c r="G31" s="9">
        <f t="shared" si="6"/>
        <v>56</v>
      </c>
      <c r="H31" s="9">
        <f t="shared" si="6"/>
        <v>62</v>
      </c>
      <c r="I31" s="9">
        <f t="shared" si="6"/>
        <v>47</v>
      </c>
      <c r="J31" s="9">
        <f t="shared" si="6"/>
        <v>59</v>
      </c>
      <c r="K31" s="9">
        <f t="shared" si="6"/>
        <v>59</v>
      </c>
      <c r="L31" s="9">
        <f t="shared" si="6"/>
        <v>53</v>
      </c>
      <c r="M31" s="9">
        <f t="shared" si="6"/>
        <v>46</v>
      </c>
      <c r="N31" s="9">
        <f t="shared" si="6"/>
        <v>59</v>
      </c>
      <c r="O31" s="9">
        <f t="shared" si="6"/>
        <v>45</v>
      </c>
      <c r="P31" s="9">
        <f t="shared" si="6"/>
        <v>665</v>
      </c>
      <c r="Q31" s="9">
        <f>AVERAGE(D31:O31)</f>
        <v>55.416666666666664</v>
      </c>
    </row>
    <row r="32" spans="1:17" ht="1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</row>
    <row r="33" spans="1:17" ht="45" x14ac:dyDescent="0.25">
      <c r="A33" s="47" t="s">
        <v>64</v>
      </c>
      <c r="B33" s="46" t="s">
        <v>56</v>
      </c>
      <c r="C33" s="48" t="s">
        <v>57</v>
      </c>
      <c r="D33" s="34" t="s">
        <v>4</v>
      </c>
      <c r="E33" s="34" t="s">
        <v>5</v>
      </c>
      <c r="F33" s="34" t="s">
        <v>6</v>
      </c>
      <c r="G33" s="34" t="s">
        <v>7</v>
      </c>
      <c r="H33" s="34" t="s">
        <v>8</v>
      </c>
      <c r="I33" s="34" t="s">
        <v>9</v>
      </c>
      <c r="J33" s="34" t="s">
        <v>10</v>
      </c>
      <c r="K33" s="34" t="s">
        <v>11</v>
      </c>
      <c r="L33" s="34" t="s">
        <v>12</v>
      </c>
      <c r="M33" s="34" t="s">
        <v>13</v>
      </c>
      <c r="N33" s="34" t="s">
        <v>14</v>
      </c>
      <c r="O33" s="34" t="s">
        <v>15</v>
      </c>
      <c r="P33" s="34" t="s">
        <v>16</v>
      </c>
      <c r="Q33" s="34" t="s">
        <v>17</v>
      </c>
    </row>
    <row r="34" spans="1:17" ht="30" x14ac:dyDescent="0.25">
      <c r="A34" s="17" t="s">
        <v>182</v>
      </c>
      <c r="B34" s="13" t="s">
        <v>183</v>
      </c>
      <c r="C34" s="30">
        <v>18.329999999999998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2</v>
      </c>
      <c r="N34" s="6">
        <v>0</v>
      </c>
      <c r="O34" s="6">
        <v>0</v>
      </c>
      <c r="P34" s="6">
        <f>SUM(D34:O34)</f>
        <v>2</v>
      </c>
      <c r="Q34" s="13">
        <f>AVERAGE(D34:O34)</f>
        <v>0.16666666666666666</v>
      </c>
    </row>
    <row r="35" spans="1:17" ht="15" x14ac:dyDescent="0.25">
      <c r="A35" s="17" t="s">
        <v>184</v>
      </c>
      <c r="B35" s="13" t="s">
        <v>185</v>
      </c>
      <c r="C35" s="30">
        <v>32.68</v>
      </c>
      <c r="D35" s="6">
        <v>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f>SUM(D35:O35)</f>
        <v>2</v>
      </c>
      <c r="Q35" s="13">
        <f>AVERAGE(D35:O35)</f>
        <v>0.16666666666666666</v>
      </c>
    </row>
    <row r="36" spans="1:17" ht="15" x14ac:dyDescent="0.25">
      <c r="A36" s="30" t="s">
        <v>186</v>
      </c>
      <c r="B36" s="13" t="s">
        <v>187</v>
      </c>
      <c r="C36" s="30">
        <v>18.329999999999998</v>
      </c>
      <c r="D36" s="6">
        <v>1</v>
      </c>
      <c r="E36" s="6">
        <v>0</v>
      </c>
      <c r="F36" s="6">
        <v>1</v>
      </c>
      <c r="G36" s="6">
        <v>0</v>
      </c>
      <c r="H36" s="6">
        <v>0</v>
      </c>
      <c r="I36" s="6">
        <v>0</v>
      </c>
      <c r="J36" s="6">
        <v>1</v>
      </c>
      <c r="K36" s="6">
        <v>1</v>
      </c>
      <c r="L36" s="6">
        <v>0</v>
      </c>
      <c r="M36" s="6">
        <v>0</v>
      </c>
      <c r="N36" s="6">
        <v>1</v>
      </c>
      <c r="O36" s="6">
        <v>0</v>
      </c>
      <c r="P36" s="6">
        <f>SUM(D36:O36)</f>
        <v>5</v>
      </c>
      <c r="Q36" s="13">
        <f>AVERAGE(D36:O36)</f>
        <v>0.41666666666666669</v>
      </c>
    </row>
    <row r="37" spans="1:17" ht="15" x14ac:dyDescent="0.25">
      <c r="A37" s="30" t="s">
        <v>188</v>
      </c>
      <c r="B37" s="13" t="s">
        <v>189</v>
      </c>
      <c r="C37" s="30">
        <v>11.84</v>
      </c>
      <c r="D37" s="6">
        <v>3</v>
      </c>
      <c r="E37" s="6">
        <v>6</v>
      </c>
      <c r="F37" s="6">
        <v>3</v>
      </c>
      <c r="G37" s="6">
        <v>2</v>
      </c>
      <c r="H37" s="6">
        <v>1</v>
      </c>
      <c r="I37" s="6">
        <v>2</v>
      </c>
      <c r="J37" s="6">
        <v>3</v>
      </c>
      <c r="K37" s="6">
        <v>1</v>
      </c>
      <c r="L37" s="6">
        <v>1</v>
      </c>
      <c r="M37" s="6">
        <v>2</v>
      </c>
      <c r="N37" s="6">
        <v>1</v>
      </c>
      <c r="O37" s="6">
        <v>1</v>
      </c>
      <c r="P37" s="6">
        <f>SUM(D37:O37)</f>
        <v>26</v>
      </c>
      <c r="Q37" s="13">
        <f>AVERAGE(D37:O37)</f>
        <v>2.1666666666666665</v>
      </c>
    </row>
    <row r="38" spans="1:17" ht="15" x14ac:dyDescent="0.25">
      <c r="A38" s="9" t="s">
        <v>82</v>
      </c>
      <c r="B38" s="9"/>
      <c r="C38" s="9"/>
      <c r="D38" s="9">
        <f t="shared" ref="D38:O38" si="7">SUM(D34:D37)</f>
        <v>5</v>
      </c>
      <c r="E38" s="9">
        <f t="shared" si="7"/>
        <v>6</v>
      </c>
      <c r="F38" s="9">
        <f t="shared" si="7"/>
        <v>4</v>
      </c>
      <c r="G38" s="9">
        <f t="shared" si="7"/>
        <v>2</v>
      </c>
      <c r="H38" s="9">
        <f t="shared" si="7"/>
        <v>1</v>
      </c>
      <c r="I38" s="9">
        <f t="shared" si="7"/>
        <v>2</v>
      </c>
      <c r="J38" s="9">
        <f t="shared" si="7"/>
        <v>4</v>
      </c>
      <c r="K38" s="9">
        <f t="shared" si="7"/>
        <v>2</v>
      </c>
      <c r="L38" s="9">
        <f t="shared" si="7"/>
        <v>1</v>
      </c>
      <c r="M38" s="9">
        <f t="shared" si="7"/>
        <v>4</v>
      </c>
      <c r="N38" s="9">
        <f t="shared" si="7"/>
        <v>2</v>
      </c>
      <c r="O38" s="9">
        <f t="shared" si="7"/>
        <v>2</v>
      </c>
      <c r="P38" s="9">
        <f>SUM(D38+E38+F38+G38+H38+I38+J38+K38+L38+M38+N38+O38)</f>
        <v>35</v>
      </c>
      <c r="Q38" s="9">
        <f>AVERAGE(D38:O38)</f>
        <v>2.9166666666666665</v>
      </c>
    </row>
    <row r="39" spans="1:17" ht="15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</row>
    <row r="40" spans="1:17" ht="45" x14ac:dyDescent="0.25">
      <c r="A40" s="47" t="s">
        <v>190</v>
      </c>
      <c r="B40" s="46" t="s">
        <v>56</v>
      </c>
      <c r="C40" s="48" t="s">
        <v>57</v>
      </c>
      <c r="D40" s="34" t="s">
        <v>4</v>
      </c>
      <c r="E40" s="34" t="s">
        <v>5</v>
      </c>
      <c r="F40" s="34" t="s">
        <v>6</v>
      </c>
      <c r="G40" s="34" t="s">
        <v>7</v>
      </c>
      <c r="H40" s="34" t="s">
        <v>8</v>
      </c>
      <c r="I40" s="34" t="s">
        <v>9</v>
      </c>
      <c r="J40" s="34" t="s">
        <v>10</v>
      </c>
      <c r="K40" s="34" t="s">
        <v>11</v>
      </c>
      <c r="L40" s="34" t="s">
        <v>12</v>
      </c>
      <c r="M40" s="34" t="s">
        <v>13</v>
      </c>
      <c r="N40" s="34" t="s">
        <v>14</v>
      </c>
      <c r="O40" s="34" t="s">
        <v>15</v>
      </c>
      <c r="P40" s="34" t="s">
        <v>16</v>
      </c>
      <c r="Q40" s="34" t="s">
        <v>17</v>
      </c>
    </row>
    <row r="41" spans="1:17" ht="15" x14ac:dyDescent="0.25">
      <c r="A41" s="30" t="s">
        <v>191</v>
      </c>
      <c r="B41" s="13" t="s">
        <v>192</v>
      </c>
      <c r="C41" s="30">
        <v>171.51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f t="shared" ref="P41:P54" si="8">SUM(D41:O41)</f>
        <v>0</v>
      </c>
      <c r="Q41" s="6">
        <f t="shared" ref="Q41:Q55" si="9">AVERAGE(D41:O41)</f>
        <v>0</v>
      </c>
    </row>
    <row r="42" spans="1:17" ht="15" x14ac:dyDescent="0.25">
      <c r="A42" s="30" t="s">
        <v>193</v>
      </c>
      <c r="B42" s="29" t="s">
        <v>194</v>
      </c>
      <c r="C42" s="55">
        <v>14.1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f t="shared" si="8"/>
        <v>0</v>
      </c>
      <c r="Q42" s="6">
        <f t="shared" si="9"/>
        <v>0</v>
      </c>
    </row>
    <row r="43" spans="1:17" ht="15" x14ac:dyDescent="0.25">
      <c r="A43" s="30" t="s">
        <v>195</v>
      </c>
      <c r="B43" s="13" t="s">
        <v>147</v>
      </c>
      <c r="C43" s="30">
        <v>25.83</v>
      </c>
      <c r="D43" s="6">
        <v>1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1</v>
      </c>
      <c r="N43" s="6">
        <v>2</v>
      </c>
      <c r="O43" s="6">
        <v>0</v>
      </c>
      <c r="P43" s="6">
        <f t="shared" si="8"/>
        <v>4</v>
      </c>
      <c r="Q43" s="6">
        <f t="shared" si="9"/>
        <v>0.33333333333333331</v>
      </c>
    </row>
    <row r="44" spans="1:17" ht="15" x14ac:dyDescent="0.25">
      <c r="A44" s="30" t="s">
        <v>196</v>
      </c>
      <c r="B44" s="18" t="s">
        <v>149</v>
      </c>
      <c r="C44" s="30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f t="shared" si="8"/>
        <v>0</v>
      </c>
      <c r="Q44" s="6">
        <f t="shared" si="9"/>
        <v>0</v>
      </c>
    </row>
    <row r="45" spans="1:17" ht="15" x14ac:dyDescent="0.25">
      <c r="A45" s="30" t="s">
        <v>197</v>
      </c>
      <c r="B45" s="18" t="s">
        <v>160</v>
      </c>
      <c r="C45" s="30">
        <v>78.75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f t="shared" si="8"/>
        <v>0</v>
      </c>
      <c r="Q45" s="6">
        <f t="shared" si="9"/>
        <v>0</v>
      </c>
    </row>
    <row r="46" spans="1:17" ht="15" x14ac:dyDescent="0.25">
      <c r="A46" s="30" t="s">
        <v>198</v>
      </c>
      <c r="B46" s="18" t="s">
        <v>149</v>
      </c>
      <c r="C46" s="30">
        <v>0</v>
      </c>
      <c r="D46" s="6">
        <v>1</v>
      </c>
      <c r="E46" s="6">
        <v>1</v>
      </c>
      <c r="F46" s="6">
        <v>1</v>
      </c>
      <c r="G46" s="6">
        <v>0</v>
      </c>
      <c r="H46" s="6">
        <v>0</v>
      </c>
      <c r="I46" s="6">
        <v>0</v>
      </c>
      <c r="J46" s="6">
        <v>1</v>
      </c>
      <c r="K46" s="6">
        <v>0</v>
      </c>
      <c r="L46" s="6">
        <v>2</v>
      </c>
      <c r="M46" s="6">
        <v>1</v>
      </c>
      <c r="N46" s="6">
        <v>0</v>
      </c>
      <c r="O46" s="6">
        <v>1</v>
      </c>
      <c r="P46" s="6">
        <f t="shared" si="8"/>
        <v>8</v>
      </c>
      <c r="Q46" s="6">
        <f t="shared" si="9"/>
        <v>0.66666666666666663</v>
      </c>
    </row>
    <row r="47" spans="1:17" ht="15" x14ac:dyDescent="0.25">
      <c r="A47" s="30" t="s">
        <v>199</v>
      </c>
      <c r="B47" s="18" t="s">
        <v>200</v>
      </c>
      <c r="C47" s="30"/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f t="shared" si="8"/>
        <v>0</v>
      </c>
      <c r="Q47" s="6">
        <f t="shared" si="9"/>
        <v>0</v>
      </c>
    </row>
    <row r="48" spans="1:17" ht="15" x14ac:dyDescent="0.25">
      <c r="A48" s="30" t="s">
        <v>201</v>
      </c>
      <c r="B48" s="13" t="s">
        <v>202</v>
      </c>
      <c r="C48" s="30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f t="shared" si="8"/>
        <v>0</v>
      </c>
      <c r="Q48" s="6">
        <f t="shared" si="9"/>
        <v>0</v>
      </c>
    </row>
    <row r="49" spans="1:17" ht="15" x14ac:dyDescent="0.25">
      <c r="A49" s="30" t="s">
        <v>203</v>
      </c>
      <c r="B49" s="13" t="s">
        <v>155</v>
      </c>
      <c r="C49" s="30">
        <v>12.46</v>
      </c>
      <c r="D49" s="6">
        <v>1</v>
      </c>
      <c r="E49" s="6">
        <v>2</v>
      </c>
      <c r="F49" s="6">
        <v>17</v>
      </c>
      <c r="G49" s="6">
        <v>21</v>
      </c>
      <c r="H49" s="6">
        <v>2</v>
      </c>
      <c r="I49" s="6">
        <v>2</v>
      </c>
      <c r="J49" s="6">
        <v>3</v>
      </c>
      <c r="K49" s="6">
        <v>0</v>
      </c>
      <c r="L49" s="6">
        <v>1</v>
      </c>
      <c r="M49" s="6">
        <v>5</v>
      </c>
      <c r="N49" s="6">
        <v>7</v>
      </c>
      <c r="O49" s="6">
        <v>0</v>
      </c>
      <c r="P49" s="6">
        <f t="shared" si="8"/>
        <v>61</v>
      </c>
      <c r="Q49" s="6">
        <f t="shared" si="9"/>
        <v>5.083333333333333</v>
      </c>
    </row>
    <row r="50" spans="1:17" ht="15.95" customHeight="1" x14ac:dyDescent="0.25">
      <c r="A50" s="49" t="s">
        <v>204</v>
      </c>
      <c r="B50" s="56" t="s">
        <v>113</v>
      </c>
      <c r="C50" s="30"/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f t="shared" si="8"/>
        <v>0</v>
      </c>
      <c r="Q50" s="6">
        <f t="shared" si="9"/>
        <v>0</v>
      </c>
    </row>
    <row r="51" spans="1:17" ht="30" customHeight="1" x14ac:dyDescent="0.25">
      <c r="A51" s="49" t="s">
        <v>205</v>
      </c>
      <c r="B51" s="18" t="s">
        <v>206</v>
      </c>
      <c r="C51" s="30">
        <v>11.84</v>
      </c>
      <c r="D51" s="6">
        <v>5</v>
      </c>
      <c r="E51" s="6">
        <v>7</v>
      </c>
      <c r="F51" s="6">
        <v>4</v>
      </c>
      <c r="G51" s="6">
        <v>5</v>
      </c>
      <c r="H51" s="6">
        <v>3</v>
      </c>
      <c r="I51" s="6">
        <v>2</v>
      </c>
      <c r="J51" s="6">
        <v>1</v>
      </c>
      <c r="K51" s="6">
        <v>0</v>
      </c>
      <c r="L51" s="6">
        <v>3</v>
      </c>
      <c r="M51" s="6">
        <v>1</v>
      </c>
      <c r="N51" s="6">
        <v>2</v>
      </c>
      <c r="O51" s="6">
        <v>2</v>
      </c>
      <c r="P51" s="6">
        <f t="shared" si="8"/>
        <v>35</v>
      </c>
      <c r="Q51" s="6">
        <f t="shared" si="9"/>
        <v>2.9166666666666665</v>
      </c>
    </row>
    <row r="52" spans="1:17" ht="15" x14ac:dyDescent="0.25">
      <c r="A52" s="30" t="s">
        <v>207</v>
      </c>
      <c r="B52" s="13" t="s">
        <v>175</v>
      </c>
      <c r="C52" s="30">
        <v>5.63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f t="shared" si="8"/>
        <v>1</v>
      </c>
      <c r="Q52" s="6">
        <f t="shared" si="9"/>
        <v>8.3333333333333329E-2</v>
      </c>
    </row>
    <row r="53" spans="1:17" ht="15" x14ac:dyDescent="0.25">
      <c r="A53" s="30" t="s">
        <v>208</v>
      </c>
      <c r="B53" s="13"/>
      <c r="C53" s="30"/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f t="shared" si="8"/>
        <v>0</v>
      </c>
      <c r="Q53" s="6">
        <f t="shared" si="9"/>
        <v>0</v>
      </c>
    </row>
    <row r="54" spans="1:17" ht="25.15" customHeight="1" x14ac:dyDescent="0.25">
      <c r="A54" s="30" t="s">
        <v>209</v>
      </c>
      <c r="B54" s="50" t="s">
        <v>210</v>
      </c>
      <c r="C54" s="30">
        <v>391.88</v>
      </c>
      <c r="D54" s="6">
        <v>0</v>
      </c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1</v>
      </c>
      <c r="O54" s="6">
        <v>0</v>
      </c>
      <c r="P54" s="6">
        <f t="shared" si="8"/>
        <v>3</v>
      </c>
      <c r="Q54" s="6">
        <f t="shared" si="9"/>
        <v>0.25</v>
      </c>
    </row>
    <row r="55" spans="1:17" ht="15" x14ac:dyDescent="0.25">
      <c r="A55" s="9" t="s">
        <v>211</v>
      </c>
      <c r="B55" s="9"/>
      <c r="C55" s="9"/>
      <c r="D55" s="9">
        <f t="shared" ref="D55:O55" si="10">SUM(D41:D54)</f>
        <v>8</v>
      </c>
      <c r="E55" s="9">
        <f t="shared" si="10"/>
        <v>10</v>
      </c>
      <c r="F55" s="9">
        <f t="shared" si="10"/>
        <v>23</v>
      </c>
      <c r="G55" s="9">
        <f t="shared" si="10"/>
        <v>26</v>
      </c>
      <c r="H55" s="9">
        <f t="shared" si="10"/>
        <v>5</v>
      </c>
      <c r="I55" s="9">
        <f t="shared" si="10"/>
        <v>4</v>
      </c>
      <c r="J55" s="9">
        <f t="shared" si="10"/>
        <v>5</v>
      </c>
      <c r="K55" s="9">
        <f t="shared" si="10"/>
        <v>0</v>
      </c>
      <c r="L55" s="9">
        <f t="shared" si="10"/>
        <v>6</v>
      </c>
      <c r="M55" s="9">
        <f t="shared" si="10"/>
        <v>9</v>
      </c>
      <c r="N55" s="9">
        <f t="shared" si="10"/>
        <v>12</v>
      </c>
      <c r="O55" s="9">
        <f t="shared" si="10"/>
        <v>4</v>
      </c>
      <c r="P55" s="9">
        <f>SUM(D55+E55+F55+G55+H55+I55+J55+K55+L55+M55+N55+O55)</f>
        <v>112</v>
      </c>
      <c r="Q55" s="9">
        <f t="shared" si="9"/>
        <v>9.3333333333333339</v>
      </c>
    </row>
    <row r="56" spans="1:17" ht="15" x14ac:dyDescent="0.2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</row>
    <row r="57" spans="1:17" ht="45" x14ac:dyDescent="0.25">
      <c r="A57" s="47" t="s">
        <v>111</v>
      </c>
      <c r="B57" s="46" t="s">
        <v>56</v>
      </c>
      <c r="C57" s="48" t="s">
        <v>57</v>
      </c>
      <c r="D57" s="34" t="s">
        <v>4</v>
      </c>
      <c r="E57" s="34" t="s">
        <v>5</v>
      </c>
      <c r="F57" s="34" t="s">
        <v>6</v>
      </c>
      <c r="G57" s="34" t="s">
        <v>7</v>
      </c>
      <c r="H57" s="34" t="s">
        <v>8</v>
      </c>
      <c r="I57" s="34" t="s">
        <v>9</v>
      </c>
      <c r="J57" s="34" t="s">
        <v>10</v>
      </c>
      <c r="K57" s="34" t="s">
        <v>11</v>
      </c>
      <c r="L57" s="34" t="s">
        <v>12</v>
      </c>
      <c r="M57" s="34" t="s">
        <v>13</v>
      </c>
      <c r="N57" s="34" t="s">
        <v>14</v>
      </c>
      <c r="O57" s="34" t="s">
        <v>15</v>
      </c>
      <c r="P57" s="34" t="s">
        <v>16</v>
      </c>
      <c r="Q57" s="34" t="s">
        <v>17</v>
      </c>
    </row>
    <row r="58" spans="1:17" ht="15" x14ac:dyDescent="0.25">
      <c r="A58" s="30" t="s">
        <v>212</v>
      </c>
      <c r="B58" s="13" t="s">
        <v>147</v>
      </c>
      <c r="C58" s="30">
        <v>25.83</v>
      </c>
      <c r="D58" s="6">
        <v>31</v>
      </c>
      <c r="E58" s="6">
        <v>33</v>
      </c>
      <c r="F58" s="6">
        <v>47</v>
      </c>
      <c r="G58" s="6">
        <v>36</v>
      </c>
      <c r="H58" s="6">
        <v>55</v>
      </c>
      <c r="I58" s="6">
        <v>41</v>
      </c>
      <c r="J58" s="6">
        <v>42</v>
      </c>
      <c r="K58" s="6">
        <v>62</v>
      </c>
      <c r="L58" s="6">
        <v>9</v>
      </c>
      <c r="M58" s="6">
        <v>61</v>
      </c>
      <c r="N58" s="6">
        <v>67</v>
      </c>
      <c r="O58" s="6">
        <v>31</v>
      </c>
      <c r="P58" s="6">
        <f t="shared" ref="P58:P66" si="11">SUM(D58:O58)</f>
        <v>515</v>
      </c>
      <c r="Q58" s="13">
        <f t="shared" ref="Q58:Q66" si="12">AVERAGE(D58:O58)</f>
        <v>42.916666666666664</v>
      </c>
    </row>
    <row r="59" spans="1:17" ht="15" x14ac:dyDescent="0.25">
      <c r="A59" s="30" t="s">
        <v>213</v>
      </c>
      <c r="B59" s="18" t="s">
        <v>149</v>
      </c>
      <c r="C59" s="30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f t="shared" si="11"/>
        <v>0</v>
      </c>
      <c r="Q59" s="13">
        <f t="shared" si="12"/>
        <v>0</v>
      </c>
    </row>
    <row r="60" spans="1:17" ht="38.1" customHeight="1" x14ac:dyDescent="0.25">
      <c r="A60" s="49" t="s">
        <v>214</v>
      </c>
      <c r="B60" s="13" t="s">
        <v>206</v>
      </c>
      <c r="C60" s="30">
        <v>11.84</v>
      </c>
      <c r="D60" s="6">
        <v>27</v>
      </c>
      <c r="E60" s="6">
        <v>32</v>
      </c>
      <c r="F60" s="6">
        <v>36</v>
      </c>
      <c r="G60" s="6">
        <v>38</v>
      </c>
      <c r="H60" s="6">
        <v>29</v>
      </c>
      <c r="I60" s="6">
        <v>36</v>
      </c>
      <c r="J60" s="6">
        <v>127</v>
      </c>
      <c r="K60" s="6">
        <v>88</v>
      </c>
      <c r="L60" s="6">
        <v>12</v>
      </c>
      <c r="M60" s="6">
        <v>55</v>
      </c>
      <c r="N60" s="6">
        <v>44</v>
      </c>
      <c r="O60" s="6">
        <v>42</v>
      </c>
      <c r="P60" s="6">
        <f t="shared" si="11"/>
        <v>566</v>
      </c>
      <c r="Q60" s="13">
        <f t="shared" si="12"/>
        <v>47.166666666666664</v>
      </c>
    </row>
    <row r="61" spans="1:17" ht="15" x14ac:dyDescent="0.25">
      <c r="A61" s="30" t="s">
        <v>215</v>
      </c>
      <c r="B61" s="32" t="s">
        <v>216</v>
      </c>
      <c r="C61" s="30">
        <v>158.11000000000001</v>
      </c>
      <c r="D61" s="6">
        <v>0</v>
      </c>
      <c r="E61" s="6">
        <v>0</v>
      </c>
      <c r="F61" s="6">
        <v>0</v>
      </c>
      <c r="G61" s="6">
        <v>1</v>
      </c>
      <c r="H61" s="6">
        <v>1</v>
      </c>
      <c r="I61" s="6">
        <v>1</v>
      </c>
      <c r="J61" s="6">
        <v>0</v>
      </c>
      <c r="K61" s="6">
        <v>0</v>
      </c>
      <c r="L61" s="6">
        <v>1</v>
      </c>
      <c r="M61" s="6">
        <v>1</v>
      </c>
      <c r="N61" s="6">
        <v>0</v>
      </c>
      <c r="O61" s="6">
        <v>0</v>
      </c>
      <c r="P61" s="6">
        <f t="shared" si="11"/>
        <v>5</v>
      </c>
      <c r="Q61" s="13">
        <f t="shared" si="12"/>
        <v>0.41666666666666669</v>
      </c>
    </row>
    <row r="62" spans="1:17" ht="15" x14ac:dyDescent="0.25">
      <c r="A62" s="30" t="s">
        <v>217</v>
      </c>
      <c r="B62" s="13" t="s">
        <v>155</v>
      </c>
      <c r="C62" s="30">
        <v>12.46</v>
      </c>
      <c r="D62" s="6">
        <v>2</v>
      </c>
      <c r="E62" s="6">
        <v>5</v>
      </c>
      <c r="F62" s="6">
        <v>3</v>
      </c>
      <c r="G62" s="6">
        <v>9</v>
      </c>
      <c r="H62" s="6">
        <v>3</v>
      </c>
      <c r="I62" s="6">
        <v>4</v>
      </c>
      <c r="J62" s="6">
        <v>3</v>
      </c>
      <c r="K62" s="6">
        <v>0</v>
      </c>
      <c r="L62" s="6">
        <v>0</v>
      </c>
      <c r="M62" s="6">
        <v>0</v>
      </c>
      <c r="N62" s="6">
        <v>0</v>
      </c>
      <c r="O62" s="57">
        <v>1</v>
      </c>
      <c r="P62" s="6">
        <f t="shared" si="11"/>
        <v>30</v>
      </c>
      <c r="Q62" s="13">
        <f t="shared" si="12"/>
        <v>2.5</v>
      </c>
    </row>
    <row r="63" spans="1:17" ht="15" x14ac:dyDescent="0.25">
      <c r="A63" s="17" t="s">
        <v>218</v>
      </c>
      <c r="B63" s="13" t="s">
        <v>134</v>
      </c>
      <c r="C63" s="30">
        <v>23.16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f t="shared" si="11"/>
        <v>0</v>
      </c>
      <c r="Q63" s="13">
        <f t="shared" si="12"/>
        <v>0</v>
      </c>
    </row>
    <row r="64" spans="1:17" ht="15" x14ac:dyDescent="0.25">
      <c r="A64" s="17" t="s">
        <v>219</v>
      </c>
      <c r="B64" s="13" t="s">
        <v>155</v>
      </c>
      <c r="C64" s="30">
        <v>12.46</v>
      </c>
      <c r="D64" s="6">
        <v>15</v>
      </c>
      <c r="E64" s="6">
        <v>11</v>
      </c>
      <c r="F64" s="6">
        <v>9</v>
      </c>
      <c r="G64" s="6">
        <v>3</v>
      </c>
      <c r="H64" s="6">
        <v>4</v>
      </c>
      <c r="I64" s="6">
        <v>2</v>
      </c>
      <c r="J64" s="6">
        <v>5</v>
      </c>
      <c r="K64" s="6">
        <v>8</v>
      </c>
      <c r="L64" s="6">
        <v>2</v>
      </c>
      <c r="M64" s="6">
        <v>10</v>
      </c>
      <c r="N64" s="6">
        <v>3</v>
      </c>
      <c r="O64" s="6">
        <v>3</v>
      </c>
      <c r="P64" s="6">
        <f t="shared" si="11"/>
        <v>75</v>
      </c>
      <c r="Q64" s="13">
        <f t="shared" si="12"/>
        <v>6.25</v>
      </c>
    </row>
    <row r="65" spans="1:17" ht="15" x14ac:dyDescent="0.25">
      <c r="A65" s="17" t="s">
        <v>220</v>
      </c>
      <c r="B65" s="32" t="s">
        <v>113</v>
      </c>
      <c r="C65" s="30"/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f t="shared" si="11"/>
        <v>0</v>
      </c>
      <c r="Q65" s="13">
        <f t="shared" si="12"/>
        <v>0</v>
      </c>
    </row>
    <row r="66" spans="1:17" ht="15" x14ac:dyDescent="0.25">
      <c r="A66" s="30" t="s">
        <v>221</v>
      </c>
      <c r="B66" s="13" t="s">
        <v>175</v>
      </c>
      <c r="C66" s="30">
        <v>5.63</v>
      </c>
      <c r="D66" s="6">
        <v>2</v>
      </c>
      <c r="E66" s="6">
        <v>1</v>
      </c>
      <c r="F66" s="6">
        <v>1</v>
      </c>
      <c r="G66" s="6">
        <v>3</v>
      </c>
      <c r="H66" s="6">
        <v>1</v>
      </c>
      <c r="I66" s="6">
        <v>5</v>
      </c>
      <c r="J66" s="6">
        <v>4</v>
      </c>
      <c r="K66" s="6">
        <v>7</v>
      </c>
      <c r="L66" s="6">
        <v>11</v>
      </c>
      <c r="M66" s="6">
        <v>2</v>
      </c>
      <c r="N66" s="6">
        <v>2</v>
      </c>
      <c r="O66" s="6">
        <v>1</v>
      </c>
      <c r="P66" s="6">
        <f t="shared" si="11"/>
        <v>40</v>
      </c>
      <c r="Q66" s="13">
        <f t="shared" si="12"/>
        <v>3.3333333333333335</v>
      </c>
    </row>
    <row r="67" spans="1:17" ht="15" x14ac:dyDescent="0.25">
      <c r="A67" s="9" t="s">
        <v>114</v>
      </c>
      <c r="B67" s="9"/>
      <c r="C67" s="9"/>
      <c r="D67" s="9">
        <f t="shared" ref="D67:O67" si="13">SUM(D58:D66)</f>
        <v>77</v>
      </c>
      <c r="E67" s="9">
        <f t="shared" si="13"/>
        <v>82</v>
      </c>
      <c r="F67" s="9">
        <f t="shared" si="13"/>
        <v>96</v>
      </c>
      <c r="G67" s="9">
        <f t="shared" si="13"/>
        <v>90</v>
      </c>
      <c r="H67" s="9">
        <f t="shared" si="13"/>
        <v>93</v>
      </c>
      <c r="I67" s="9">
        <f t="shared" si="13"/>
        <v>89</v>
      </c>
      <c r="J67" s="9">
        <f t="shared" si="13"/>
        <v>181</v>
      </c>
      <c r="K67" s="9">
        <f t="shared" si="13"/>
        <v>165</v>
      </c>
      <c r="L67" s="9">
        <f t="shared" si="13"/>
        <v>35</v>
      </c>
      <c r="M67" s="9">
        <f t="shared" si="13"/>
        <v>129</v>
      </c>
      <c r="N67" s="9">
        <f t="shared" si="13"/>
        <v>116</v>
      </c>
      <c r="O67" s="9">
        <f t="shared" si="13"/>
        <v>78</v>
      </c>
      <c r="P67" s="9">
        <f>SUM(D67+E67+F67+G67+H67+I67+J67+K67+L67+M67+N67+O67)</f>
        <v>1231</v>
      </c>
      <c r="Q67" s="9">
        <f>AVERAGE(D67:P67)</f>
        <v>189.38461538461539</v>
      </c>
    </row>
    <row r="68" spans="1:17" ht="15" x14ac:dyDescent="0.2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 spans="1:17" ht="45" x14ac:dyDescent="0.25">
      <c r="A69" s="47" t="s">
        <v>222</v>
      </c>
      <c r="B69" s="46" t="s">
        <v>56</v>
      </c>
      <c r="C69" s="48" t="s">
        <v>57</v>
      </c>
      <c r="D69" s="34" t="s">
        <v>4</v>
      </c>
      <c r="E69" s="34" t="s">
        <v>5</v>
      </c>
      <c r="F69" s="34" t="s">
        <v>6</v>
      </c>
      <c r="G69" s="34" t="s">
        <v>7</v>
      </c>
      <c r="H69" s="34" t="s">
        <v>8</v>
      </c>
      <c r="I69" s="34" t="s">
        <v>9</v>
      </c>
      <c r="J69" s="34" t="s">
        <v>10</v>
      </c>
      <c r="K69" s="34" t="s">
        <v>11</v>
      </c>
      <c r="L69" s="34" t="s">
        <v>12</v>
      </c>
      <c r="M69" s="34" t="s">
        <v>13</v>
      </c>
      <c r="N69" s="34" t="s">
        <v>14</v>
      </c>
      <c r="O69" s="34" t="s">
        <v>15</v>
      </c>
      <c r="P69" s="34" t="s">
        <v>16</v>
      </c>
      <c r="Q69" s="34" t="s">
        <v>17</v>
      </c>
    </row>
    <row r="70" spans="1:17" ht="15" x14ac:dyDescent="0.25">
      <c r="A70" s="30" t="s">
        <v>223</v>
      </c>
      <c r="B70" s="6" t="s">
        <v>224</v>
      </c>
      <c r="C70" s="30">
        <v>114.36</v>
      </c>
      <c r="D70" s="50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13">
        <f>SUM(D70:O70)</f>
        <v>0</v>
      </c>
      <c r="Q70" s="6">
        <f>AVERAGE(D70:O70)</f>
        <v>0</v>
      </c>
    </row>
    <row r="71" spans="1:17" ht="15" x14ac:dyDescent="0.25">
      <c r="A71" s="30" t="s">
        <v>225</v>
      </c>
      <c r="B71" s="29" t="s">
        <v>192</v>
      </c>
      <c r="C71" s="30">
        <v>171.51</v>
      </c>
      <c r="D71" s="50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13">
        <f>SUM(D71:O71)</f>
        <v>0</v>
      </c>
      <c r="Q71" s="6">
        <f>AVERAGE(D71:O71)</f>
        <v>0</v>
      </c>
    </row>
    <row r="72" spans="1:17" ht="15" x14ac:dyDescent="0.25">
      <c r="A72" s="9" t="s">
        <v>226</v>
      </c>
      <c r="B72" s="9"/>
      <c r="C72" s="9"/>
      <c r="D72" s="9">
        <f t="shared" ref="D72:O72" si="14">SUM(D70:D71)</f>
        <v>0</v>
      </c>
      <c r="E72" s="9">
        <f t="shared" si="14"/>
        <v>0</v>
      </c>
      <c r="F72" s="9">
        <f t="shared" si="14"/>
        <v>0</v>
      </c>
      <c r="G72" s="9">
        <f t="shared" si="14"/>
        <v>0</v>
      </c>
      <c r="H72" s="9">
        <f t="shared" si="14"/>
        <v>0</v>
      </c>
      <c r="I72" s="9">
        <f t="shared" si="14"/>
        <v>0</v>
      </c>
      <c r="J72" s="9">
        <f t="shared" si="14"/>
        <v>0</v>
      </c>
      <c r="K72" s="9">
        <f t="shared" si="14"/>
        <v>0</v>
      </c>
      <c r="L72" s="9">
        <f t="shared" si="14"/>
        <v>0</v>
      </c>
      <c r="M72" s="9">
        <f t="shared" si="14"/>
        <v>0</v>
      </c>
      <c r="N72" s="9">
        <f t="shared" si="14"/>
        <v>0</v>
      </c>
      <c r="O72" s="9">
        <f t="shared" si="14"/>
        <v>0</v>
      </c>
      <c r="P72" s="9">
        <f>SUM(D72+E72+F72+G72+H72+I72+J72+K72+L72+M72+N72+O72)</f>
        <v>0</v>
      </c>
      <c r="Q72" s="9">
        <f>AVERAGE(D72:O72)</f>
        <v>0</v>
      </c>
    </row>
    <row r="73" spans="1:17" ht="15" x14ac:dyDescent="0.2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</row>
    <row r="74" spans="1:17" ht="45" x14ac:dyDescent="0.25">
      <c r="A74" s="58" t="s">
        <v>227</v>
      </c>
      <c r="B74" s="46" t="s">
        <v>56</v>
      </c>
      <c r="C74" s="59" t="s">
        <v>57</v>
      </c>
      <c r="D74" s="60" t="s">
        <v>4</v>
      </c>
      <c r="E74" s="60" t="s">
        <v>5</v>
      </c>
      <c r="F74" s="60" t="s">
        <v>6</v>
      </c>
      <c r="G74" s="60" t="s">
        <v>7</v>
      </c>
      <c r="H74" s="60" t="s">
        <v>8</v>
      </c>
      <c r="I74" s="60" t="s">
        <v>9</v>
      </c>
      <c r="J74" s="60" t="s">
        <v>10</v>
      </c>
      <c r="K74" s="60" t="s">
        <v>11</v>
      </c>
      <c r="L74" s="60" t="s">
        <v>12</v>
      </c>
      <c r="M74" s="60" t="s">
        <v>13</v>
      </c>
      <c r="N74" s="60" t="s">
        <v>14</v>
      </c>
      <c r="O74" s="60" t="s">
        <v>15</v>
      </c>
      <c r="P74" s="60" t="s">
        <v>16</v>
      </c>
      <c r="Q74" s="60" t="s">
        <v>17</v>
      </c>
    </row>
    <row r="75" spans="1:17" ht="15" x14ac:dyDescent="0.25">
      <c r="A75" s="49" t="s">
        <v>146</v>
      </c>
      <c r="B75" s="50" t="s">
        <v>147</v>
      </c>
      <c r="C75" s="49">
        <v>25.83</v>
      </c>
      <c r="D75" s="6">
        <v>0</v>
      </c>
      <c r="E75" s="6">
        <v>0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1</v>
      </c>
      <c r="P75" s="50">
        <f>SUM(D75:O75)</f>
        <v>2</v>
      </c>
      <c r="Q75" s="6">
        <f>AVERAGE(D75:O75)</f>
        <v>0.16666666666666666</v>
      </c>
    </row>
    <row r="76" spans="1:17" ht="15" x14ac:dyDescent="0.25">
      <c r="A76" s="49" t="s">
        <v>184</v>
      </c>
      <c r="B76" s="50" t="s">
        <v>228</v>
      </c>
      <c r="C76" s="49">
        <v>32.68</v>
      </c>
      <c r="D76" s="6">
        <v>0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50">
        <f>SUM(D76:O76)</f>
        <v>1</v>
      </c>
      <c r="Q76" s="6">
        <f>AVERAGE(D76:O76)</f>
        <v>8.3333333333333329E-2</v>
      </c>
    </row>
    <row r="77" spans="1:17" ht="30" x14ac:dyDescent="0.25">
      <c r="A77" s="49" t="s">
        <v>229</v>
      </c>
      <c r="B77" s="50" t="s">
        <v>155</v>
      </c>
      <c r="C77" s="30">
        <v>12.46</v>
      </c>
      <c r="D77" s="6">
        <v>2</v>
      </c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50">
        <f>SUM(D77:O77)</f>
        <v>3</v>
      </c>
      <c r="Q77" s="6">
        <f>AVERAGE(D77:O77)</f>
        <v>0.25</v>
      </c>
    </row>
    <row r="78" spans="1:17" ht="15" x14ac:dyDescent="0.25">
      <c r="A78" s="61" t="s">
        <v>230</v>
      </c>
      <c r="B78" s="61"/>
      <c r="C78" s="61"/>
      <c r="D78" s="61">
        <f t="shared" ref="D78:O78" si="15">SUM(D75:D77)</f>
        <v>2</v>
      </c>
      <c r="E78" s="61">
        <f t="shared" si="15"/>
        <v>2</v>
      </c>
      <c r="F78" s="61">
        <f t="shared" si="15"/>
        <v>0</v>
      </c>
      <c r="G78" s="61">
        <f t="shared" si="15"/>
        <v>1</v>
      </c>
      <c r="H78" s="61">
        <f t="shared" si="15"/>
        <v>0</v>
      </c>
      <c r="I78" s="61">
        <f t="shared" si="15"/>
        <v>0</v>
      </c>
      <c r="J78" s="61">
        <f t="shared" si="15"/>
        <v>0</v>
      </c>
      <c r="K78" s="61">
        <f t="shared" si="15"/>
        <v>0</v>
      </c>
      <c r="L78" s="61">
        <f t="shared" si="15"/>
        <v>0</v>
      </c>
      <c r="M78" s="61">
        <f t="shared" si="15"/>
        <v>0</v>
      </c>
      <c r="N78" s="61">
        <f t="shared" si="15"/>
        <v>0</v>
      </c>
      <c r="O78" s="61">
        <f t="shared" si="15"/>
        <v>1</v>
      </c>
      <c r="P78" s="61">
        <f>SUM(D78+E78+F78+G78+H78+I78+J78+K78+L78+M78+N78+O78)</f>
        <v>6</v>
      </c>
      <c r="Q78" s="61">
        <f>AVERAGE(D78:O78)</f>
        <v>0.5</v>
      </c>
    </row>
    <row r="79" spans="1:17" ht="15" x14ac:dyDescent="0.25">
      <c r="A79" s="69" t="s">
        <v>46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</row>
    <row r="80" spans="1:17" ht="45" x14ac:dyDescent="0.25">
      <c r="A80" s="58" t="s">
        <v>231</v>
      </c>
      <c r="B80" s="46" t="s">
        <v>56</v>
      </c>
      <c r="C80" s="59" t="s">
        <v>57</v>
      </c>
      <c r="D80" s="60" t="s">
        <v>4</v>
      </c>
      <c r="E80" s="60" t="s">
        <v>5</v>
      </c>
      <c r="F80" s="60" t="s">
        <v>6</v>
      </c>
      <c r="G80" s="60" t="s">
        <v>7</v>
      </c>
      <c r="H80" s="60" t="s">
        <v>8</v>
      </c>
      <c r="I80" s="60" t="s">
        <v>9</v>
      </c>
      <c r="J80" s="60" t="s">
        <v>10</v>
      </c>
      <c r="K80" s="60" t="s">
        <v>11</v>
      </c>
      <c r="L80" s="60" t="s">
        <v>12</v>
      </c>
      <c r="M80" s="60" t="s">
        <v>13</v>
      </c>
      <c r="N80" s="60" t="s">
        <v>14</v>
      </c>
      <c r="O80" s="60" t="s">
        <v>15</v>
      </c>
      <c r="P80" s="60" t="s">
        <v>16</v>
      </c>
      <c r="Q80" s="60" t="s">
        <v>17</v>
      </c>
    </row>
    <row r="81" spans="1:17" ht="15" x14ac:dyDescent="0.25">
      <c r="A81" s="49" t="s">
        <v>157</v>
      </c>
      <c r="B81" s="50" t="s">
        <v>155</v>
      </c>
      <c r="C81" s="49">
        <v>12.46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1</v>
      </c>
      <c r="K81" s="6">
        <v>2</v>
      </c>
      <c r="L81" s="6">
        <v>1</v>
      </c>
      <c r="M81" s="6">
        <v>1</v>
      </c>
      <c r="N81" s="6">
        <v>0</v>
      </c>
      <c r="O81" s="6">
        <v>0</v>
      </c>
      <c r="P81" s="50">
        <f>SUM(D81:O81)</f>
        <v>5</v>
      </c>
      <c r="Q81" s="21">
        <f>AVERAGE(D81:O81)</f>
        <v>0.41666666666666669</v>
      </c>
    </row>
    <row r="82" spans="1:17" ht="15" x14ac:dyDescent="0.25">
      <c r="A82" s="49" t="s">
        <v>232</v>
      </c>
      <c r="B82" s="50" t="s">
        <v>233</v>
      </c>
      <c r="C82" s="49">
        <v>51.75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2</v>
      </c>
      <c r="K82" s="6">
        <v>1</v>
      </c>
      <c r="L82" s="6">
        <v>4</v>
      </c>
      <c r="M82" s="6">
        <v>3</v>
      </c>
      <c r="N82" s="6">
        <v>3</v>
      </c>
      <c r="O82" s="6">
        <v>4</v>
      </c>
      <c r="P82" s="50">
        <f>SUM(D82:O82)</f>
        <v>17</v>
      </c>
      <c r="Q82" s="21">
        <f>AVERAGE(D82:O82)</f>
        <v>1.4166666666666667</v>
      </c>
    </row>
    <row r="83" spans="1:17" ht="15" x14ac:dyDescent="0.25">
      <c r="A83" s="61" t="s">
        <v>234</v>
      </c>
      <c r="B83" s="61"/>
      <c r="C83" s="61"/>
      <c r="D83" s="61">
        <f t="shared" ref="D83:O83" si="16">SUM(D81:D82)</f>
        <v>0</v>
      </c>
      <c r="E83" s="61">
        <f t="shared" si="16"/>
        <v>0</v>
      </c>
      <c r="F83" s="61">
        <f t="shared" si="16"/>
        <v>0</v>
      </c>
      <c r="G83" s="61">
        <f t="shared" si="16"/>
        <v>0</v>
      </c>
      <c r="H83" s="61">
        <f t="shared" si="16"/>
        <v>0</v>
      </c>
      <c r="I83" s="61">
        <f t="shared" si="16"/>
        <v>0</v>
      </c>
      <c r="J83" s="61">
        <f t="shared" si="16"/>
        <v>3</v>
      </c>
      <c r="K83" s="61">
        <f t="shared" si="16"/>
        <v>3</v>
      </c>
      <c r="L83" s="61">
        <f t="shared" si="16"/>
        <v>5</v>
      </c>
      <c r="M83" s="61">
        <f t="shared" si="16"/>
        <v>4</v>
      </c>
      <c r="N83" s="61">
        <f t="shared" si="16"/>
        <v>3</v>
      </c>
      <c r="O83" s="61">
        <f t="shared" si="16"/>
        <v>4</v>
      </c>
      <c r="P83" s="61">
        <f>SUM(D83+E83+F83+G83+H83+I83+J83+K83+L83+M83+N83+O83)</f>
        <v>22</v>
      </c>
      <c r="Q83" s="61">
        <f>AVERAGE(D83:O83)</f>
        <v>1.8333333333333333</v>
      </c>
    </row>
    <row r="84" spans="1:17" ht="15" x14ac:dyDescent="0.25">
      <c r="A84" s="69" t="s">
        <v>46</v>
      </c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</row>
    <row r="85" spans="1:17" ht="45" x14ac:dyDescent="0.25">
      <c r="A85" s="58" t="s">
        <v>235</v>
      </c>
      <c r="B85" s="46" t="s">
        <v>56</v>
      </c>
      <c r="C85" s="59" t="s">
        <v>57</v>
      </c>
      <c r="D85" s="60" t="s">
        <v>4</v>
      </c>
      <c r="E85" s="60" t="s">
        <v>5</v>
      </c>
      <c r="F85" s="60" t="s">
        <v>6</v>
      </c>
      <c r="G85" s="60" t="s">
        <v>7</v>
      </c>
      <c r="H85" s="60" t="s">
        <v>8</v>
      </c>
      <c r="I85" s="60" t="s">
        <v>9</v>
      </c>
      <c r="J85" s="60" t="s">
        <v>10</v>
      </c>
      <c r="K85" s="60" t="s">
        <v>11</v>
      </c>
      <c r="L85" s="60" t="s">
        <v>12</v>
      </c>
      <c r="M85" s="60" t="s">
        <v>13</v>
      </c>
      <c r="N85" s="60" t="s">
        <v>14</v>
      </c>
      <c r="O85" s="60" t="s">
        <v>15</v>
      </c>
      <c r="P85" s="60" t="s">
        <v>16</v>
      </c>
      <c r="Q85" s="60" t="s">
        <v>17</v>
      </c>
    </row>
    <row r="86" spans="1:17" ht="15" x14ac:dyDescent="0.25">
      <c r="A86" s="49" t="s">
        <v>236</v>
      </c>
      <c r="B86" s="18" t="s">
        <v>237</v>
      </c>
      <c r="C86" s="49">
        <v>543.08000000000004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21">
        <v>0</v>
      </c>
      <c r="M86" s="21">
        <v>0</v>
      </c>
      <c r="N86" s="6">
        <v>0</v>
      </c>
      <c r="O86" s="21">
        <v>0</v>
      </c>
      <c r="P86" s="50">
        <f>SUM(D86:O86)</f>
        <v>0</v>
      </c>
      <c r="Q86" s="21">
        <f>AVERAGE(D86:O86)</f>
        <v>0</v>
      </c>
    </row>
    <row r="87" spans="1:17" ht="15" x14ac:dyDescent="0.25">
      <c r="A87" s="49" t="s">
        <v>238</v>
      </c>
      <c r="B87" s="50" t="s">
        <v>91</v>
      </c>
      <c r="C87" s="49">
        <v>356.81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21">
        <v>0</v>
      </c>
      <c r="M87" s="21">
        <v>0</v>
      </c>
      <c r="N87" s="6">
        <v>0</v>
      </c>
      <c r="O87" s="21">
        <v>0</v>
      </c>
      <c r="P87" s="50">
        <f>SUM(D87:O87)</f>
        <v>0</v>
      </c>
      <c r="Q87" s="21">
        <f>AVERAGE(D87:O87)</f>
        <v>0</v>
      </c>
    </row>
    <row r="88" spans="1:17" ht="15" x14ac:dyDescent="0.25">
      <c r="A88" s="49" t="s">
        <v>157</v>
      </c>
      <c r="B88" s="50" t="s">
        <v>155</v>
      </c>
      <c r="C88" s="49">
        <v>12.46</v>
      </c>
      <c r="D88" s="50">
        <v>0</v>
      </c>
      <c r="E88" s="50">
        <v>0</v>
      </c>
      <c r="F88" s="21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21">
        <v>0</v>
      </c>
      <c r="M88" s="21">
        <v>0</v>
      </c>
      <c r="N88" s="6">
        <v>0</v>
      </c>
      <c r="O88" s="21">
        <v>0</v>
      </c>
      <c r="P88" s="50">
        <f>SUM(D88:O88)</f>
        <v>0</v>
      </c>
      <c r="Q88" s="21">
        <f>AVERAGE(D88:O88)</f>
        <v>0</v>
      </c>
    </row>
    <row r="89" spans="1:17" ht="15" x14ac:dyDescent="0.25">
      <c r="A89" s="61" t="s">
        <v>239</v>
      </c>
      <c r="B89" s="61"/>
      <c r="C89" s="61"/>
      <c r="D89" s="61">
        <f t="shared" ref="D89:I89" si="17">SUM(D86:D87)</f>
        <v>0</v>
      </c>
      <c r="E89" s="61">
        <f t="shared" si="17"/>
        <v>0</v>
      </c>
      <c r="F89" s="61">
        <f t="shared" si="17"/>
        <v>0</v>
      </c>
      <c r="G89" s="61">
        <f t="shared" si="17"/>
        <v>0</v>
      </c>
      <c r="H89" s="61">
        <f t="shared" si="17"/>
        <v>0</v>
      </c>
      <c r="I89" s="61">
        <f t="shared" si="17"/>
        <v>0</v>
      </c>
      <c r="J89" s="61">
        <f>SUM(J86:J88)</f>
        <v>0</v>
      </c>
      <c r="K89" s="61">
        <f>SUM(K86:K88)</f>
        <v>0</v>
      </c>
      <c r="L89" s="61">
        <f>SUM(L86:L87)</f>
        <v>0</v>
      </c>
      <c r="M89" s="61">
        <f>SUM(M86:M87)</f>
        <v>0</v>
      </c>
      <c r="N89" s="61">
        <f>SUM(N86:N87)</f>
        <v>0</v>
      </c>
      <c r="O89" s="61">
        <f>SUM(O86:O87)</f>
        <v>0</v>
      </c>
      <c r="P89" s="61">
        <f>SUM(D89+E89+F89+G89+H89+I89+J89+K89+L89+M89+N89+O89)</f>
        <v>0</v>
      </c>
      <c r="Q89" s="61">
        <f>AVERAGE(D89:O89)</f>
        <v>0</v>
      </c>
    </row>
    <row r="90" spans="1:17" ht="15" x14ac:dyDescent="0.2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</row>
    <row r="91" spans="1:17" ht="15" x14ac:dyDescent="0.25">
      <c r="A91" s="62" t="s">
        <v>139</v>
      </c>
      <c r="B91" s="62"/>
      <c r="C91" s="62"/>
      <c r="D91" s="62">
        <f>SUM(D89,D83,D78,D72,D67,D55,D38,D31,D24,D13)</f>
        <v>327</v>
      </c>
      <c r="E91" s="62">
        <f t="shared" ref="E91:O91" si="18">SUM(E13,E24,E31,E38,E55,E67,E72,E78,E83,E89)</f>
        <v>316</v>
      </c>
      <c r="F91" s="62">
        <f t="shared" si="18"/>
        <v>351</v>
      </c>
      <c r="G91" s="62">
        <f t="shared" si="18"/>
        <v>368</v>
      </c>
      <c r="H91" s="62">
        <f t="shared" si="18"/>
        <v>324</v>
      </c>
      <c r="I91" s="62">
        <f t="shared" si="18"/>
        <v>303</v>
      </c>
      <c r="J91" s="62">
        <f t="shared" si="18"/>
        <v>475</v>
      </c>
      <c r="K91" s="62">
        <f t="shared" si="18"/>
        <v>454</v>
      </c>
      <c r="L91" s="62">
        <f t="shared" si="18"/>
        <v>310</v>
      </c>
      <c r="M91" s="62">
        <f t="shared" si="18"/>
        <v>400</v>
      </c>
      <c r="N91" s="62">
        <f t="shared" si="18"/>
        <v>360</v>
      </c>
      <c r="O91" s="62">
        <f t="shared" si="18"/>
        <v>252</v>
      </c>
      <c r="P91" s="62">
        <f>SUM(D91:O91)</f>
        <v>4240</v>
      </c>
      <c r="Q91" s="62">
        <f>AVERAGE(D91:O91)</f>
        <v>353.33333333333331</v>
      </c>
    </row>
    <row r="92" spans="1:17" ht="15" x14ac:dyDescent="0.25">
      <c r="A92" s="69" t="s">
        <v>46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spans="1:17" ht="15" x14ac:dyDescent="0.25">
      <c r="A93" s="63" t="s">
        <v>140</v>
      </c>
      <c r="B93" s="63"/>
      <c r="C93" s="63"/>
      <c r="D93" s="61">
        <v>0</v>
      </c>
      <c r="E93" s="61">
        <v>0</v>
      </c>
      <c r="F93" s="61">
        <v>0</v>
      </c>
      <c r="G93" s="61">
        <v>0</v>
      </c>
      <c r="H93" s="61">
        <v>0</v>
      </c>
      <c r="I93" s="9">
        <v>0</v>
      </c>
      <c r="J93" s="9">
        <v>0</v>
      </c>
      <c r="K93" s="9">
        <v>0</v>
      </c>
      <c r="L93" s="61">
        <v>0</v>
      </c>
      <c r="M93" s="61">
        <v>0</v>
      </c>
      <c r="N93" s="61">
        <v>0</v>
      </c>
      <c r="O93" s="61">
        <v>0</v>
      </c>
      <c r="P93" s="61">
        <f>SUM(D93:O93)</f>
        <v>0</v>
      </c>
      <c r="Q93" s="61">
        <f>AVERAGE(D93:P93)</f>
        <v>0</v>
      </c>
    </row>
    <row r="94" spans="1:17" ht="14.65" customHeight="1" x14ac:dyDescent="0.25">
      <c r="A94" s="64"/>
    </row>
    <row r="105" spans="1:3" ht="15" x14ac:dyDescent="0.25">
      <c r="A105" s="65"/>
    </row>
    <row r="108" spans="1:3" ht="15" x14ac:dyDescent="0.25">
      <c r="C108" s="66"/>
    </row>
  </sheetData>
  <mergeCells count="14">
    <mergeCell ref="A90:Q90"/>
    <mergeCell ref="A92:Q92"/>
    <mergeCell ref="A39:Q39"/>
    <mergeCell ref="A56:Q56"/>
    <mergeCell ref="A68:Q68"/>
    <mergeCell ref="A73:Q73"/>
    <mergeCell ref="A79:Q79"/>
    <mergeCell ref="A84:Q84"/>
    <mergeCell ref="A1:Q1"/>
    <mergeCell ref="A2:Q2"/>
    <mergeCell ref="A3:Q3"/>
    <mergeCell ref="A14:Q14"/>
    <mergeCell ref="A25:Q25"/>
    <mergeCell ref="A32:Q32"/>
  </mergeCells>
  <pageMargins left="0.51181102362204722" right="0.51181102362204722" top="1.1811023622047243" bottom="1.1811023622047243" header="0.78740157480314954" footer="0.78740157480314954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2948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CMA_-_CC</vt:lpstr>
      <vt:lpstr>cma_-_SPC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Batista de Oliveira</dc:creator>
  <cp:lastModifiedBy>Saulo Titonel Bastos</cp:lastModifiedBy>
  <cp:revision>1824</cp:revision>
  <dcterms:created xsi:type="dcterms:W3CDTF">2018-12-10T11:07:15Z</dcterms:created>
  <dcterms:modified xsi:type="dcterms:W3CDTF">2025-02-20T18:06:58Z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